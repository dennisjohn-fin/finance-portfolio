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\finance-portfolio\01-Constants-audit\"/>
    </mc:Choice>
  </mc:AlternateContent>
  <xr:revisionPtr revIDLastSave="0" documentId="13_ncr:1_{004154D7-2AA3-4A01-8BF0-8D3AEEBD16F2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P&amp;L" sheetId="1" r:id="rId1"/>
    <sheet name="Assumptions" sheetId="2" r:id="rId2"/>
    <sheet name="constants_audit" sheetId="3" r:id="rId3"/>
    <sheet name="P&amp;L_original" sheetId="4" r:id="rId4"/>
  </sheets>
  <definedNames>
    <definedName name="ExternalData_1" localSheetId="1" hidden="1">Assumptions!$A$1:$C$14</definedName>
    <definedName name="ExternalData_1" localSheetId="0" hidden="1">'P&amp;L'!$A$1:$O$38</definedName>
    <definedName name="ExternalData_1" localSheetId="3" hidden="1">'P&amp;L_original'!$A$1:$N$38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 a="1"/>
  <c r="B53" i="3"/>
  <c r="B54" i="3"/>
  <c r="B55" i="3"/>
  <c r="B56" i="3"/>
  <c r="B57" i="3"/>
  <c r="B58" i="3"/>
  <c r="B59" i="3" a="1"/>
  <c r="B60" i="3" a="1"/>
  <c r="D46" i="3" a="1"/>
  <c r="E46" i="3"/>
  <c r="F46" i="3"/>
  <c r="D47" i="3" a="1"/>
  <c r="E47" i="3"/>
  <c r="F47" i="3"/>
  <c r="G47" i="3" s="1"/>
  <c r="D49" i="3" a="1"/>
  <c r="E49" i="3"/>
  <c r="F49" i="3"/>
  <c r="G49" i="3" s="1"/>
  <c r="H32" i="3"/>
  <c r="G33" i="3"/>
  <c r="H33" i="3"/>
  <c r="G34" i="3"/>
  <c r="H34" i="3"/>
  <c r="G35" i="3"/>
  <c r="H35" i="3"/>
  <c r="H36" i="3"/>
  <c r="S2" i="1"/>
  <c r="R2" i="1"/>
  <c r="P2" i="1"/>
  <c r="R3" i="1"/>
  <c r="P3" i="1"/>
  <c r="Q2" i="1"/>
  <c r="Q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E50" i="3"/>
  <c r="E40" i="3"/>
  <c r="E41" i="3"/>
  <c r="E42" i="3"/>
  <c r="E43" i="3"/>
  <c r="E44" i="3"/>
  <c r="E45" i="3"/>
  <c r="B5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H26" i="3"/>
  <c r="H27" i="3"/>
  <c r="H28" i="3"/>
  <c r="H29" i="3"/>
  <c r="H30" i="3"/>
  <c r="H31" i="3"/>
  <c r="B68" i="3"/>
  <c r="B69" i="3" a="1"/>
  <c r="B70" i="3" s="1"/>
  <c r="B76" i="3"/>
  <c r="C76" i="3"/>
  <c r="D76" i="3" a="1"/>
  <c r="B77" i="3"/>
  <c r="C77" i="3"/>
  <c r="D77" i="3" a="1"/>
  <c r="B78" i="3"/>
  <c r="C78" i="3"/>
  <c r="D78" i="3" a="1"/>
  <c r="B79" i="3"/>
  <c r="C79" i="3"/>
  <c r="D79" i="3" a="1"/>
  <c r="B80" i="3"/>
  <c r="C80" i="3"/>
  <c r="D80" i="3" a="1"/>
  <c r="B81" i="3"/>
  <c r="C81" i="3"/>
  <c r="D81" i="3" a="1"/>
  <c r="B82" i="3"/>
  <c r="C82" i="3"/>
  <c r="D82" i="3" a="1"/>
  <c r="B83" i="3"/>
  <c r="C83" i="3"/>
  <c r="D83" i="3" a="1"/>
  <c r="B84" i="3"/>
  <c r="C84" i="3"/>
  <c r="D84" i="3" a="1"/>
  <c r="B85" i="3"/>
  <c r="C85" i="3"/>
  <c r="D85" i="3" a="1"/>
  <c r="B86" i="3"/>
  <c r="C86" i="3"/>
  <c r="D86" i="3" a="1"/>
  <c r="B87" i="3"/>
  <c r="C87" i="3"/>
  <c r="D87" i="3" a="1"/>
  <c r="B88" i="3"/>
  <c r="C88" i="3"/>
  <c r="D88" i="3" a="1"/>
  <c r="D90" i="3" s="1"/>
  <c r="B89" i="3"/>
  <c r="C89" i="3"/>
  <c r="D89" i="3" a="1"/>
  <c r="C90" i="3"/>
  <c r="B94" i="3"/>
  <c r="C94" i="3" a="1"/>
  <c r="B95" i="3"/>
  <c r="C95" i="3" a="1"/>
  <c r="B96" i="3"/>
  <c r="C96" i="3" a="1"/>
  <c r="B97" i="3"/>
  <c r="C97" i="3" a="1"/>
  <c r="B98" i="3"/>
  <c r="C98" i="3" a="1"/>
  <c r="B99" i="3"/>
  <c r="C99" i="3" a="1"/>
  <c r="B100" i="3"/>
  <c r="C100" i="3" a="1"/>
  <c r="B101" i="3"/>
  <c r="C101" i="3" a="1"/>
  <c r="B105" i="3"/>
  <c r="C105" i="3"/>
  <c r="D105" i="3"/>
  <c r="E105" i="3"/>
  <c r="B106" i="3"/>
  <c r="C106" i="3"/>
  <c r="D106" i="3"/>
  <c r="E106" i="3"/>
  <c r="F106" i="3"/>
  <c r="B107" i="3"/>
  <c r="C107" i="3"/>
  <c r="D107" i="3"/>
  <c r="E107" i="3"/>
  <c r="B108" i="3"/>
  <c r="C108" i="3"/>
  <c r="E108" i="3"/>
  <c r="B109" i="3"/>
  <c r="C109" i="3"/>
  <c r="D109" i="3"/>
  <c r="E109" i="3"/>
  <c r="B110" i="3"/>
  <c r="C110" i="3"/>
  <c r="D110" i="3" s="1"/>
  <c r="E110" i="3"/>
  <c r="O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C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F27" i="1" s="1"/>
  <c r="C28" i="1"/>
  <c r="D28" i="1" s="1"/>
  <c r="F28" i="1" s="1"/>
  <c r="C29" i="1"/>
  <c r="D29" i="1" s="1"/>
  <c r="F29" i="1" s="1"/>
  <c r="C30" i="1"/>
  <c r="D30" i="1" s="1"/>
  <c r="F30" i="1" s="1"/>
  <c r="C31" i="1"/>
  <c r="D31" i="1" s="1"/>
  <c r="F31" i="1" s="1"/>
  <c r="C32" i="1"/>
  <c r="D32" i="1" s="1"/>
  <c r="F32" i="1" s="1"/>
  <c r="C33" i="1"/>
  <c r="D33" i="1" s="1"/>
  <c r="F33" i="1" s="1"/>
  <c r="C34" i="1"/>
  <c r="D34" i="1" s="1"/>
  <c r="F34" i="1" s="1"/>
  <c r="C35" i="1"/>
  <c r="D35" i="1" s="1"/>
  <c r="F35" i="1" s="1"/>
  <c r="C36" i="1"/>
  <c r="D36" i="1" s="1"/>
  <c r="F36" i="1" s="1"/>
  <c r="C37" i="1"/>
  <c r="D37" i="1" s="1"/>
  <c r="F37" i="1" s="1"/>
  <c r="C38" i="1"/>
  <c r="D38" i="1" s="1"/>
  <c r="F38" i="1" s="1"/>
  <c r="G46" i="3" l="1"/>
  <c r="D108" i="3"/>
  <c r="F109" i="3"/>
  <c r="F105" i="3"/>
  <c r="F107" i="3"/>
  <c r="R4" i="1"/>
  <c r="P4" i="1"/>
  <c r="S3" i="1"/>
  <c r="J3" i="1" s="1"/>
  <c r="K3" i="1" s="1"/>
  <c r="J2" i="1"/>
  <c r="K2" i="1" s="1"/>
  <c r="M2" i="1" s="1"/>
  <c r="M3" i="1"/>
  <c r="C11" i="3" a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D45" i="3" a="1"/>
  <c r="F45" i="3"/>
  <c r="G45" i="3" s="1"/>
  <c r="C13" i="3" a="1"/>
  <c r="D13" i="3" a="1"/>
  <c r="B13" i="3" a="1"/>
  <c r="B6" i="3"/>
  <c r="B12" i="3" a="1"/>
  <c r="D12" i="3" a="1"/>
  <c r="C12" i="3" a="1"/>
  <c r="D11" i="3" a="1"/>
  <c r="A14" i="3" s="1"/>
  <c r="B11" i="3" a="1"/>
  <c r="F42" i="3"/>
  <c r="G42" i="3" s="1"/>
  <c r="D42" i="3" a="1"/>
  <c r="F110" i="3"/>
  <c r="F108" i="3"/>
  <c r="D2" i="1"/>
  <c r="R5" i="1" l="1"/>
  <c r="P5" i="1"/>
  <c r="Q4" i="1"/>
  <c r="F2" i="1"/>
  <c r="Q5" i="1" l="1"/>
  <c r="S5" i="1" s="1"/>
  <c r="J5" i="1" s="1"/>
  <c r="K5" i="1" s="1"/>
  <c r="M5" i="1" s="1"/>
  <c r="P6" i="1"/>
  <c r="R6" i="1"/>
  <c r="S4" i="1"/>
  <c r="J4" i="1" s="1"/>
  <c r="K4" i="1" s="1"/>
  <c r="M4" i="1" s="1"/>
  <c r="P7" i="1" l="1"/>
  <c r="R7" i="1"/>
  <c r="Q6" i="1"/>
  <c r="Q7" i="1" l="1"/>
  <c r="S7" i="1" s="1"/>
  <c r="J7" i="1" s="1"/>
  <c r="K7" i="1" s="1"/>
  <c r="M7" i="1" s="1"/>
  <c r="P8" i="1"/>
  <c r="R8" i="1"/>
  <c r="S6" i="1"/>
  <c r="J6" i="1" s="1"/>
  <c r="N2" i="1"/>
  <c r="R9" i="1" l="1"/>
  <c r="P9" i="1"/>
  <c r="Q8" i="1"/>
  <c r="K6" i="1"/>
  <c r="O3" i="1"/>
  <c r="N3" i="1" s="1"/>
  <c r="O4" i="1" s="1"/>
  <c r="N4" i="1" s="1"/>
  <c r="O5" i="1" s="1"/>
  <c r="N5" i="1" s="1"/>
  <c r="O6" i="1" s="1"/>
  <c r="Q9" i="1" l="1"/>
  <c r="S9" i="1" s="1"/>
  <c r="J9" i="1" s="1"/>
  <c r="K9" i="1" s="1"/>
  <c r="M9" i="1" s="1"/>
  <c r="P10" i="1"/>
  <c r="R10" i="1"/>
  <c r="S8" i="1"/>
  <c r="J8" i="1" s="1"/>
  <c r="M6" i="1"/>
  <c r="N6" i="1"/>
  <c r="R11" i="1" l="1"/>
  <c r="Q10" i="1"/>
  <c r="P11" i="1"/>
  <c r="K8" i="1"/>
  <c r="O7" i="1"/>
  <c r="N7" i="1" s="1"/>
  <c r="S10" i="1" l="1"/>
  <c r="J10" i="1" s="1"/>
  <c r="P12" i="1"/>
  <c r="Q11" i="1"/>
  <c r="S11" i="1" s="1"/>
  <c r="J11" i="1" s="1"/>
  <c r="K11" i="1" s="1"/>
  <c r="M11" i="1" s="1"/>
  <c r="R12" i="1"/>
  <c r="M8" i="1"/>
  <c r="O8" i="1"/>
  <c r="K10" i="1" l="1"/>
  <c r="R13" i="1"/>
  <c r="P13" i="1"/>
  <c r="Q12" i="1"/>
  <c r="N8" i="1"/>
  <c r="O9" i="1" s="1"/>
  <c r="N9" i="1" s="1"/>
  <c r="M10" i="1" l="1"/>
  <c r="P14" i="1"/>
  <c r="R14" i="1"/>
  <c r="Q13" i="1"/>
  <c r="S12" i="1"/>
  <c r="J12" i="1" s="1"/>
  <c r="S13" i="1"/>
  <c r="J13" i="1" s="1"/>
  <c r="K13" i="1" s="1"/>
  <c r="M13" i="1" s="1"/>
  <c r="O10" i="1"/>
  <c r="R15" i="1" l="1"/>
  <c r="P15" i="1"/>
  <c r="Q14" i="1"/>
  <c r="K12" i="1"/>
  <c r="N10" i="1"/>
  <c r="O11" i="1" s="1"/>
  <c r="N11" i="1" s="1"/>
  <c r="O12" i="1" s="1"/>
  <c r="R16" i="1" l="1"/>
  <c r="P16" i="1"/>
  <c r="Q15" i="1"/>
  <c r="S15" i="1" s="1"/>
  <c r="J15" i="1" s="1"/>
  <c r="K15" i="1" s="1"/>
  <c r="M15" i="1" s="1"/>
  <c r="S14" i="1"/>
  <c r="J14" i="1" s="1"/>
  <c r="M12" i="1"/>
  <c r="P17" i="1" l="1"/>
  <c r="R17" i="1"/>
  <c r="Q16" i="1"/>
  <c r="K14" i="1"/>
  <c r="N12" i="1"/>
  <c r="O13" i="1" s="1"/>
  <c r="N13" i="1" s="1"/>
  <c r="O14" i="1" s="1"/>
  <c r="Q17" i="1" l="1"/>
  <c r="P18" i="1"/>
  <c r="R18" i="1"/>
  <c r="S16" i="1"/>
  <c r="J16" i="1" s="1"/>
  <c r="S17" i="1"/>
  <c r="J17" i="1" s="1"/>
  <c r="K17" i="1" s="1"/>
  <c r="M17" i="1" s="1"/>
  <c r="M14" i="1"/>
  <c r="R19" i="1" l="1"/>
  <c r="Q18" i="1"/>
  <c r="P19" i="1"/>
  <c r="K16" i="1"/>
  <c r="N14" i="1"/>
  <c r="O15" i="1" s="1"/>
  <c r="N15" i="1" s="1"/>
  <c r="O16" i="1" s="1"/>
  <c r="S18" i="1" l="1"/>
  <c r="J18" i="1" s="1"/>
  <c r="S19" i="1"/>
  <c r="J19" i="1" s="1"/>
  <c r="K19" i="1" s="1"/>
  <c r="M19" i="1" s="1"/>
  <c r="Q19" i="1"/>
  <c r="P20" i="1"/>
  <c r="R20" i="1"/>
  <c r="M16" i="1"/>
  <c r="K18" i="1" l="1"/>
  <c r="Q20" i="1"/>
  <c r="P21" i="1"/>
  <c r="R21" i="1"/>
  <c r="N16" i="1"/>
  <c r="O17" i="1" s="1"/>
  <c r="N17" i="1" s="1"/>
  <c r="O18" i="1" s="1"/>
  <c r="M18" i="1" l="1"/>
  <c r="S20" i="1"/>
  <c r="J20" i="1" s="1"/>
  <c r="R22" i="1"/>
  <c r="P22" i="1"/>
  <c r="Q21" i="1"/>
  <c r="S21" i="1" s="1"/>
  <c r="J21" i="1" s="1"/>
  <c r="K21" i="1" s="1"/>
  <c r="M21" i="1" s="1"/>
  <c r="N18" i="1" l="1"/>
  <c r="O19" i="1" s="1"/>
  <c r="N19" i="1" s="1"/>
  <c r="O20" i="1" s="1"/>
  <c r="K20" i="1"/>
  <c r="P23" i="1"/>
  <c r="R23" i="1"/>
  <c r="Q22" i="1"/>
  <c r="M20" i="1" l="1"/>
  <c r="R24" i="1"/>
  <c r="P24" i="1"/>
  <c r="Q23" i="1"/>
  <c r="S23" i="1" s="1"/>
  <c r="J23" i="1" s="1"/>
  <c r="K23" i="1" s="1"/>
  <c r="M23" i="1" s="1"/>
  <c r="S22" i="1"/>
  <c r="J22" i="1" s="1"/>
  <c r="N20" i="1" l="1"/>
  <c r="P25" i="1"/>
  <c r="R25" i="1"/>
  <c r="Q24" i="1"/>
  <c r="K22" i="1"/>
  <c r="O21" i="1" l="1"/>
  <c r="N21" i="1" s="1"/>
  <c r="R26" i="1"/>
  <c r="Q25" i="1"/>
  <c r="P26" i="1"/>
  <c r="S24" i="1"/>
  <c r="J24" i="1" s="1"/>
  <c r="S25" i="1"/>
  <c r="J25" i="1" s="1"/>
  <c r="K25" i="1" s="1"/>
  <c r="M25" i="1" s="1"/>
  <c r="M22" i="1"/>
  <c r="Q26" i="1" l="1"/>
  <c r="P27" i="1"/>
  <c r="R27" i="1"/>
  <c r="K24" i="1"/>
  <c r="O22" i="1"/>
  <c r="N22" i="1" s="1"/>
  <c r="S26" i="1" l="1"/>
  <c r="J26" i="1" s="1"/>
  <c r="P28" i="1"/>
  <c r="R28" i="1"/>
  <c r="Q27" i="1"/>
  <c r="S27" i="1" s="1"/>
  <c r="J27" i="1" s="1"/>
  <c r="K27" i="1" s="1"/>
  <c r="M27" i="1" s="1"/>
  <c r="M24" i="1"/>
  <c r="O23" i="1"/>
  <c r="N23" i="1" s="1"/>
  <c r="K26" i="1" l="1"/>
  <c r="R29" i="1"/>
  <c r="Q28" i="1"/>
  <c r="P29" i="1"/>
  <c r="O24" i="1"/>
  <c r="N24" i="1" s="1"/>
  <c r="M26" i="1" l="1"/>
  <c r="S28" i="1"/>
  <c r="J28" i="1" s="1"/>
  <c r="R30" i="1"/>
  <c r="Q29" i="1"/>
  <c r="S29" i="1" s="1"/>
  <c r="J29" i="1" s="1"/>
  <c r="K29" i="1" s="1"/>
  <c r="M29" i="1" s="1"/>
  <c r="P30" i="1"/>
  <c r="O25" i="1"/>
  <c r="N25" i="1" s="1"/>
  <c r="K28" i="1" l="1"/>
  <c r="R31" i="1"/>
  <c r="Q30" i="1"/>
  <c r="P31" i="1"/>
  <c r="O26" i="1"/>
  <c r="N26" i="1" s="1"/>
  <c r="M28" i="1" l="1"/>
  <c r="S30" i="1"/>
  <c r="J30" i="1" s="1"/>
  <c r="R32" i="1"/>
  <c r="Q31" i="1"/>
  <c r="S31" i="1" s="1"/>
  <c r="J31" i="1" s="1"/>
  <c r="K31" i="1" s="1"/>
  <c r="M31" i="1" s="1"/>
  <c r="P32" i="1"/>
  <c r="O27" i="1"/>
  <c r="N27" i="1" s="1"/>
  <c r="O28" i="1" s="1"/>
  <c r="N28" i="1" l="1"/>
  <c r="K30" i="1"/>
  <c r="R33" i="1"/>
  <c r="P33" i="1"/>
  <c r="Q32" i="1"/>
  <c r="O29" i="1" l="1"/>
  <c r="N29" i="1" s="1"/>
  <c r="M30" i="1"/>
  <c r="P34" i="1"/>
  <c r="R34" i="1"/>
  <c r="Q33" i="1"/>
  <c r="S33" i="1" s="1"/>
  <c r="J33" i="1" s="1"/>
  <c r="K33" i="1" s="1"/>
  <c r="M33" i="1" s="1"/>
  <c r="S32" i="1"/>
  <c r="J32" i="1" s="1"/>
  <c r="P35" i="1" l="1"/>
  <c r="R35" i="1"/>
  <c r="Q34" i="1"/>
  <c r="K32" i="1"/>
  <c r="O30" i="1"/>
  <c r="N30" i="1" s="1"/>
  <c r="R36" i="1" l="1"/>
  <c r="Q35" i="1"/>
  <c r="P36" i="1"/>
  <c r="S34" i="1"/>
  <c r="J34" i="1" s="1"/>
  <c r="S35" i="1"/>
  <c r="J35" i="1" s="1"/>
  <c r="K35" i="1" s="1"/>
  <c r="M35" i="1" s="1"/>
  <c r="M32" i="1"/>
  <c r="O31" i="1"/>
  <c r="N31" i="1" s="1"/>
  <c r="O32" i="1" s="1"/>
  <c r="R37" i="1" l="1"/>
  <c r="Q36" i="1"/>
  <c r="P37" i="1"/>
  <c r="K34" i="1"/>
  <c r="N32" i="1"/>
  <c r="S36" i="1" l="1"/>
  <c r="J36" i="1" s="1"/>
  <c r="Q37" i="1"/>
  <c r="S37" i="1" s="1"/>
  <c r="J37" i="1" s="1"/>
  <c r="K37" i="1" s="1"/>
  <c r="M37" i="1" s="1"/>
  <c r="P38" i="1"/>
  <c r="Q38" i="1" s="1"/>
  <c r="R38" i="1"/>
  <c r="M34" i="1"/>
  <c r="O33" i="1"/>
  <c r="N33" i="1" s="1"/>
  <c r="K36" i="1" l="1"/>
  <c r="S38" i="1"/>
  <c r="J38" i="1" s="1"/>
  <c r="D40" i="3" s="1" a="1"/>
  <c r="O34" i="1"/>
  <c r="N34" i="1" s="1"/>
  <c r="O35" i="1" s="1"/>
  <c r="N35" i="1" s="1"/>
  <c r="O36" i="1" s="1"/>
  <c r="M36" i="1" l="1"/>
  <c r="K38" i="1"/>
  <c r="D41" i="3" s="1" a="1"/>
  <c r="F40" i="3"/>
  <c r="G40" i="3" s="1"/>
  <c r="N36" i="1" l="1"/>
  <c r="F41" i="3"/>
  <c r="G41" i="3" s="1"/>
  <c r="M38" i="1"/>
  <c r="O37" i="1" l="1"/>
  <c r="N37" i="1" s="1"/>
  <c r="O38" i="1" s="1"/>
  <c r="F43" i="3"/>
  <c r="G43" i="3" s="1"/>
  <c r="D43" i="3" a="1"/>
  <c r="N38" i="1" l="1"/>
  <c r="D44" i="3" l="1" a="1"/>
  <c r="F44" i="3"/>
  <c r="G44" i="3" s="1"/>
  <c r="F50" i="3"/>
  <c r="G5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38687-4BA2-489E-90D0-0B031F3CE17B}" keepAlive="1" name="Query - deepseek_csv_20261007_491a52" description="Connection to the 'deepseek_csv_20261007_491a52' query in the workbook." type="5" refreshedVersion="8" background="1" saveData="1">
    <dbPr connection="Provider=Microsoft.Mashup.OleDb.1;Data Source=$Workbook$;Location=deepseek_csv_20261007_491a52;Extended Properties=&quot;&quot;" command="SELECT * FROM [deepseek_csv_20261007_491a52]"/>
  </connection>
  <connection id="2" xr16:uid="{544AF731-337B-45C3-A2FB-AC0950FD5E2B}" keepAlive="1" name="Query - deepseek_csv_20261007_491a52 (2)" description="Connection to the 'deepseek_csv_20261007_491a52 (2)' query in the workbook." type="5" refreshedVersion="8" background="1" saveData="1">
    <dbPr connection="Provider=Microsoft.Mashup.OleDb.1;Data Source=$Workbook$;Location=&quot;deepseek_csv_20261007_491a52 (2)&quot;;Extended Properties=&quot;&quot;" command="SELECT * FROM [deepseek_csv_20261007_491a52 (2)]"/>
  </connection>
  <connection id="3" xr16:uid="{C4D04D0E-7F6D-40CF-827B-686CFBF38C71}" keepAlive="1" name="Query - deepseek_csv_20261007_c1ddc3" description="Connection to the 'deepseek_csv_20261007_c1ddc3' query in the workbook." type="5" refreshedVersion="8" background="1" saveData="1">
    <dbPr connection="Provider=Microsoft.Mashup.OleDb.1;Data Source=$Workbook$;Location=deepseek_csv_20261007_c1ddc3;Extended Properties=&quot;&quot;" command="SELECT * FROM [deepseek_csv_20261007_c1ddc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<sst xmlns="http://schemas.openxmlformats.org/spreadsheetml/2006/main" count="332" uniqueCount="250">
  <si>
    <t>date</t>
  </si>
  <si>
    <t>revenue</t>
  </si>
  <si>
    <t>cogs</t>
  </si>
  <si>
    <t>gross_profit</t>
  </si>
  <si>
    <t>opex</t>
  </si>
  <si>
    <t>ebitda</t>
  </si>
  <si>
    <t>depreciation</t>
  </si>
  <si>
    <t>interest</t>
  </si>
  <si>
    <t>tax</t>
  </si>
  <si>
    <t>net_income</t>
  </si>
  <si>
    <t>capex</t>
  </si>
  <si>
    <t>cash_flow</t>
  </si>
  <si>
    <t>closing_cash</t>
  </si>
  <si>
    <t>opening_cash</t>
  </si>
  <si>
    <t>assumption</t>
  </si>
  <si>
    <t>value</t>
  </si>
  <si>
    <t>notes</t>
  </si>
  <si>
    <t>price_growth_annual</t>
  </si>
  <si>
    <t>Annual price escalation per subscriber</t>
  </si>
  <si>
    <t>unit_growth_annual</t>
  </si>
  <si>
    <t>Annual growth in paying subscribers</t>
  </si>
  <si>
    <t>cogs_pct</t>
  </si>
  <si>
    <t>Cost of goods sold as % of revenue</t>
  </si>
  <si>
    <t>opex_pct</t>
  </si>
  <si>
    <t>Operating expenses as % of revenue</t>
  </si>
  <si>
    <t>tax_rate</t>
  </si>
  <si>
    <t>Corporate tax rate</t>
  </si>
  <si>
    <t>wacc</t>
  </si>
  <si>
    <t>Weighted average cost of capital</t>
  </si>
  <si>
    <t>Constants Audit – P&amp;L</t>
  </si>
  <si>
    <t>Cells scanned (A2:N38)</t>
  </si>
  <si>
    <t>Formula cells found</t>
  </si>
  <si>
    <t>Hardcoded constants found in formulas</t>
  </si>
  <si>
    <t>Top 3 most reused constants</t>
  </si>
  <si>
    <t>n/a – no formulas to scan</t>
  </si>
  <si>
    <t>Result: every P&amp;L cell is a typed-in value, so there are no formula constants to extract. The whole sheet is effectively hardcoded.</t>
  </si>
  <si>
    <t>Hardcoded value columns</t>
  </si>
  <si>
    <t>Column</t>
  </si>
  <si>
    <t>Header</t>
  </si>
  <si>
    <t>Numeric value cells</t>
  </si>
  <si>
    <t>Formula cells</t>
  </si>
  <si>
    <t>Implied pattern (inferred from values)</t>
  </si>
  <si>
    <t>Matching assumption</t>
  </si>
  <si>
    <t>A</t>
  </si>
  <si>
    <t>Monthly date series</t>
  </si>
  <si>
    <t>B</t>
  </si>
  <si>
    <t>Input data (no pattern)</t>
  </si>
  <si>
    <t>C</t>
  </si>
  <si>
    <t>revenue × 0.32</t>
  </si>
  <si>
    <t>Assumptions: cogs_pct</t>
  </si>
  <si>
    <t>D</t>
  </si>
  <si>
    <t>revenue − cogs</t>
  </si>
  <si>
    <t>E</t>
  </si>
  <si>
    <t>6,000 + revenue × 0.18</t>
  </si>
  <si>
    <t>Assumptions: opex_pct (6,000 fixed opex has no assumption)</t>
  </si>
  <si>
    <t>F</t>
  </si>
  <si>
    <t>gross_profit − opex</t>
  </si>
  <si>
    <t>G</t>
  </si>
  <si>
    <t>Fixed 1,500 per month</t>
  </si>
  <si>
    <t>None – missing</t>
  </si>
  <si>
    <t>H</t>
  </si>
  <si>
    <t>Fixed 900 per month</t>
  </si>
  <si>
    <t>I</t>
  </si>
  <si>
    <t>Assumptions: tax_rate</t>
  </si>
  <si>
    <t>J</t>
  </si>
  <si>
    <t>K</t>
  </si>
  <si>
    <t>18,000 in January, 3,500 in other months</t>
  </si>
  <si>
    <t>L</t>
  </si>
  <si>
    <t>M</t>
  </si>
  <si>
    <t>opening_cash + cash_flow</t>
  </si>
  <si>
    <t>N</t>
  </si>
  <si>
    <t>100,000 in first month, then prior closing_cash</t>
  </si>
  <si>
    <t>None – missing (opening balance)</t>
  </si>
  <si>
    <t>Total</t>
  </si>
  <si>
    <t>Pattern checks (rows where values don't fit the implied pattern, tolerance ±0.011)</t>
  </si>
  <si>
    <t>Pattern</t>
  </si>
  <si>
    <t>Rows checked</t>
  </si>
  <si>
    <t>Rows not matching</t>
  </si>
  <si>
    <t>cogs = revenue × cogs_pct</t>
  </si>
  <si>
    <t>gross_profit = revenue − cogs</t>
  </si>
  <si>
    <t>opex = 6,000 + revenue × opex_pct</t>
  </si>
  <si>
    <t>ebitda = gross_profit − opex</t>
  </si>
  <si>
    <t>tax = (ebitda − dep − interest) × tax_rate</t>
  </si>
  <si>
    <t>net_income = ebitda − dep − interest − tax</t>
  </si>
  <si>
    <t>cash_flow = net_income − capex</t>
  </si>
  <si>
    <t>closing_cash = opening_cash + cash_flow</t>
  </si>
  <si>
    <t>Cash flow exceptions</t>
  </si>
  <si>
    <t>Cell</t>
  </si>
  <si>
    <t>Expected cash_flow (NI − capex)</t>
  </si>
  <si>
    <t>Actual cash_flow</t>
  </si>
  <si>
    <t>Difference</t>
  </si>
  <si>
    <t>L32</t>
  </si>
  <si>
    <t>L35</t>
  </si>
  <si>
    <t>L36</t>
  </si>
  <si>
    <t>L37</t>
  </si>
  <si>
    <t>(ebitda − depreciation − interest) × 0.25 – holds only in rows 2–9; breaks from row 10 on</t>
  </si>
  <si>
    <t>ebitda − depreciation − interest − tax – breaks in most rows (see checks)</t>
  </si>
  <si>
    <t>net_income − capex (6 exceptions, see below)</t>
  </si>
  <si>
    <t>Rows affected</t>
  </si>
  <si>
    <t>6, 35 (off by ±1)</t>
  </si>
  <si>
    <t>30, 34, 36, 37, 38 (off by 0.02 to 200)</t>
  </si>
  <si>
    <t>10–38: no single rate explains tax</t>
  </si>
  <si>
    <t>5, 6, 8 (small) and 10–38</t>
  </si>
  <si>
    <t>32–37 (capex not fully subtracted)</t>
  </si>
  <si>
    <t>L33</t>
  </si>
  <si>
    <t>L34</t>
  </si>
  <si>
    <t>Note: patterns were worked out from the values. The P&amp;L has no formulas, so these show likely intent, not confirmed logic.</t>
  </si>
  <si>
    <t>Snapshot of P&amp;L values before fixes (taken 2026-10-08). Do not edit – used by constants_audit.</t>
  </si>
  <si>
    <t>fixed_opex_monthly</t>
  </si>
  <si>
    <t>Fixed monthly operating expenses (on top of opex_pct × revenue)</t>
  </si>
  <si>
    <t>depreciation_monthly</t>
  </si>
  <si>
    <t>Monthly depreciation charge</t>
  </si>
  <si>
    <t>interest_monthly</t>
  </si>
  <si>
    <t>Monthly interest expense</t>
  </si>
  <si>
    <t>capex_january</t>
  </si>
  <si>
    <t>Capex in January of each year (annual spend)</t>
  </si>
  <si>
    <t>capex_monthly</t>
  </si>
  <si>
    <t>Capex in all non-January months</t>
  </si>
  <si>
    <t>Opening cash balance in first model month</t>
  </si>
  <si>
    <t>ORIGINAL AUDIT (before fixes) – all checks below reference the P&amp;L_original snapshot</t>
  </si>
  <si>
    <t>Scan of 'P&amp;L'!A1:N38 for hardcoded constants, fixes applied, and replacement formulas linked to Assumptions</t>
  </si>
  <si>
    <t>Original summary (before fixes)</t>
  </si>
  <si>
    <t>tblConstantsAudit – detected constants and replacement formulas</t>
  </si>
  <si>
    <t>Cell range</t>
  </si>
  <si>
    <t>P&amp;L column</t>
  </si>
  <si>
    <t>Original content</t>
  </si>
  <si>
    <t>Detected constant</t>
  </si>
  <si>
    <t>Suggested named assumption</t>
  </si>
  <si>
    <t>Assumptions cell</t>
  </si>
  <si>
    <t>Assumption value</t>
  </si>
  <si>
    <t>Fixed formula (live from P&amp;L)</t>
  </si>
  <si>
    <t>Cells using</t>
  </si>
  <si>
    <t>Change note</t>
  </si>
  <si>
    <t>C2:C38</t>
  </si>
  <si>
    <t>Typed values (≈ revenue × 0.32)</t>
  </si>
  <si>
    <t>Assumptions!B4</t>
  </si>
  <si>
    <t>Converted to formula; rows 6 &amp; 35 (off by ±1) corrected as a result</t>
  </si>
  <si>
    <t>E2:E38</t>
  </si>
  <si>
    <t>Typed values (≈ 6,000 + revenue × 0.18)</t>
  </si>
  <si>
    <t>Assumptions!B8</t>
  </si>
  <si>
    <t>Fix 2: rows 30, 34, 36, 37, 38 corrected to the audited formula</t>
  </si>
  <si>
    <t>Assumptions!B5</t>
  </si>
  <si>
    <t>Fix 2 (as above)</t>
  </si>
  <si>
    <t>G2:G38</t>
  </si>
  <si>
    <t>Typed 1,500 each month</t>
  </si>
  <si>
    <t>Assumptions!B9</t>
  </si>
  <si>
    <t>New assumption added</t>
  </si>
  <si>
    <t>H2:H38</t>
  </si>
  <si>
    <t>Typed 900 each month</t>
  </si>
  <si>
    <t>Assumptions!B10</t>
  </si>
  <si>
    <t>I2:I38</t>
  </si>
  <si>
    <t>Typed values (25% of pre-tax profit only in rows 2–9)</t>
  </si>
  <si>
    <t>Assumptions!B6</t>
  </si>
  <si>
    <t>Typed 18,000 in January</t>
  </si>
  <si>
    <t>Assumptions!B11</t>
  </si>
  <si>
    <t>New assumption added; picked by MONTH(date)=1</t>
  </si>
  <si>
    <t>Typed 3,500 in other months</t>
  </si>
  <si>
    <t>Assumptions!B12</t>
  </si>
  <si>
    <t>Typed 100,000 (first month)</t>
  </si>
  <si>
    <t>Assumptions!B13</t>
  </si>
  <si>
    <t>D2:D38</t>
  </si>
  <si>
    <t>Typed values (derived)</t>
  </si>
  <si>
    <t>(none – derived)</t>
  </si>
  <si>
    <t>Converted to formula</t>
  </si>
  <si>
    <t>F2:F38</t>
  </si>
  <si>
    <t>J2:J38</t>
  </si>
  <si>
    <t>Typed values (≈ net_income − capex)</t>
  </si>
  <si>
    <t>M2:M38</t>
  </si>
  <si>
    <t>Converted to formula; recalculates after Fix 3</t>
  </si>
  <si>
    <t>Typed values (prior closing)</t>
  </si>
  <si>
    <t>Links to prior month closing_cash</t>
  </si>
  <si>
    <t>Summary (after fixes)</t>
  </si>
  <si>
    <t>Distinct constants found</t>
  </si>
  <si>
    <t>Total constant occurrences (cells)</t>
  </si>
  <si>
    <t>Formula cells in P&amp;L now</t>
  </si>
  <si>
    <t>Input cells left in P&amp;L (date, revenue)</t>
  </si>
  <si>
    <t>Rank</t>
  </si>
  <si>
    <t>Constant</t>
  </si>
  <si>
    <t>Suggested assumption</t>
  </si>
  <si>
    <t>Uses</t>
  </si>
  <si>
    <t>Change log – fixes applied (P&amp;L now vs P&amp;L_original snapshot, tolerance ±0.011)</t>
  </si>
  <si>
    <t>Fix</t>
  </si>
  <si>
    <t>Description</t>
  </si>
  <si>
    <t>P&amp;L range</t>
  </si>
  <si>
    <t>Rows changed</t>
  </si>
  <si>
    <t>Original total</t>
  </si>
  <si>
    <t>New total</t>
  </si>
  <si>
    <t>Fix 1 – tax</t>
  </si>
  <si>
    <t>Fix 1 knock-on</t>
  </si>
  <si>
    <t>net_income recalculated</t>
  </si>
  <si>
    <t>Fix 2 – opex</t>
  </si>
  <si>
    <t>opex = fixed_opex_monthly + opex_pct × revenue</t>
  </si>
  <si>
    <t>Fix 3 – cash flow</t>
  </si>
  <si>
    <t>Fix 3 knock-on</t>
  </si>
  <si>
    <t>closing_cash recalculated</t>
  </si>
  <si>
    <t>Side effect</t>
  </si>
  <si>
    <t>cogs = revenue × cogs_pct (rows 6, 35 off by ±1 before)</t>
  </si>
  <si>
    <t>Ending cash (Jan-2026)</t>
  </si>
  <si>
    <t>closing_cash in last row</t>
  </si>
  <si>
    <t>P&amp;L_original holds the pre-fix values for comparison. Revenue and date stay as inputs (blue); all other P&amp;L columns are now formulas.</t>
  </si>
  <si>
    <t>opening_tax_loss_cf</t>
  </si>
  <si>
    <t>Unused tax losses brought forward at model start</t>
  </si>
  <si>
    <t>pre_tax_profit</t>
  </si>
  <si>
    <t>tax_loss_crfwd</t>
  </si>
  <si>
    <t>dta</t>
  </si>
  <si>
    <t>cash_tax</t>
  </si>
  <si>
    <t>deferred_tax</t>
  </si>
  <si>
    <t>J2:J38 (was I)</t>
  </si>
  <si>
    <t>L2, L14, L26, L38 (was K)</t>
  </si>
  <si>
    <t>L3:L38 (was K)</t>
  </si>
  <si>
    <t>O2 (was N2)</t>
  </si>
  <si>
    <t>K2:K38 (was J)</t>
  </si>
  <si>
    <t>M2:M38 (was L)</t>
  </si>
  <si>
    <t>N2:N38 (was M)</t>
  </si>
  <si>
    <t>O3:O38 (was N)</t>
  </si>
  <si>
    <t>Fix 1: 25% × pre-tax profit → superseded by Fix 4: tax = cash_tax + deferred_tax (loss carryforward)</t>
  </si>
  <si>
    <t>Recalculated after Fix 1 and Fix 4</t>
  </si>
  <si>
    <t>Fix 3: net_income + depreciation − capex → Fix 5: + deferred_tax (non-cash)</t>
  </si>
  <si>
    <t>New column (Fix 4)</t>
  </si>
  <si>
    <t>Fix 4: ebitda − depreciation − interest</t>
  </si>
  <si>
    <t>P2:P38</t>
  </si>
  <si>
    <t>Assumptions!B14</t>
  </si>
  <si>
    <t>Fix 4: MAX(0, prior c/f − pre-tax profit). P2 starts from opening_tax_loss_cf (new assumption, 0)</t>
  </si>
  <si>
    <t>Q2:Q38</t>
  </si>
  <si>
    <t>Fix 4: tax_loss_crfwd × tax_rate</t>
  </si>
  <si>
    <t>R2:R38</t>
  </si>
  <si>
    <t>Fix 4: (pre-tax profit − losses used) × tax_rate, never below 0</t>
  </si>
  <si>
    <t>S2:S38</t>
  </si>
  <si>
    <t>Fix 4: drop in DTA (negative = tax benefit in loss months)</t>
  </si>
  <si>
    <t>N38 (was M38)</t>
  </si>
  <si>
    <t>Fix 4 – tax (loss c/f)</t>
  </si>
  <si>
    <t>tax = cash_tax + deferred_tax; losses carried forward, DTA at tax_rate</t>
  </si>
  <si>
    <t>Fix 4 knock-on</t>
  </si>
  <si>
    <t>K2:K38</t>
  </si>
  <si>
    <t>net_income = pre_tax_profit − tax</t>
  </si>
  <si>
    <t>Fix 4 – new columns</t>
  </si>
  <si>
    <t>I, P:S</t>
  </si>
  <si>
    <t>Added pre_tax_profit, tax_loss_crfwd, dta, cash_tax, deferred_tax; new assumption opening_tax_loss_cf</t>
  </si>
  <si>
    <t>Fix 5 – cash flow</t>
  </si>
  <si>
    <t>cash_flow = net_income + depreciation − capex + deferred_tax (DTA credits are non-cash)</t>
  </si>
  <si>
    <t>Fix 4 checks – loss carryforward and DTA</t>
  </si>
  <si>
    <t>Final unused tax losses ('P&amp;L'!P38)</t>
  </si>
  <si>
    <t>Tax rate (Assumptions!B6)</t>
  </si>
  <si>
    <t>Expected DTA = unused losses × tax rate</t>
  </si>
  <si>
    <t>Final DTA ('P&amp;L'!Q38)</t>
  </si>
  <si>
    <t>Check: final DTA = unused losses × tax rate</t>
  </si>
  <si>
    <t>Check: tax = cash_tax + deferred_tax (all rows)</t>
  </si>
  <si>
    <t>Check: DTA = tax_loss_crfwd × tax rate (all rows)</t>
  </si>
  <si>
    <t>cash_flow = net_income + depreciation − capex – superseded by Fix 5 (totals show current P&amp;L)</t>
  </si>
  <si>
    <t>tax = 25% × pre-tax profit on all rows – superseded by Fix 4 (same total tax expense)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</si>
</sst>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%"/>
    <numFmt numFmtId="166" formatCode="#,##0;\(#,##0\);\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wrapText="1"/>
    </xf>
    <xf numFmtId="0" fontId="1" fillId="0" borderId="1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6" fillId="0" borderId="0" xfId="0" applyFont="1"/>
    <xf numFmtId="0" fontId="8" fillId="0" borderId="0" xfId="0" applyFont="1"/>
    <xf numFmtId="165" fontId="9" fillId="0" borderId="0" xfId="0" applyNumberFormat="1" applyFont="1"/>
    <xf numFmtId="3" fontId="9" fillId="0" borderId="0" xfId="0" applyNumberFormat="1" applyFont="1"/>
    <xf numFmtId="166" fontId="9" fillId="0" borderId="0" xfId="0" applyNumberFormat="1" applyFont="1"/>
    <xf numFmtId="166" fontId="10" fillId="0" borderId="0" xfId="0" applyNumberFormat="1" applyFont="1"/>
    <xf numFmtId="166" fontId="7" fillId="0" borderId="0" xfId="0" applyNumberFormat="1" applyFont="1"/>
    <xf numFmtId="0" fontId="11" fillId="0" borderId="0" xfId="0" applyFont="1"/>
    <xf numFmtId="0" fontId="0" fillId="0" borderId="0" xfId="0" applyAlignment="1">
      <alignment vertical="top"/>
    </xf>
    <xf numFmtId="2" fontId="9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3" fontId="9" fillId="0" borderId="0" xfId="0" applyNumberFormat="1" applyFont="1" applyAlignment="1">
      <alignment vertical="top"/>
    </xf>
    <xf numFmtId="3" fontId="7" fillId="0" borderId="0" xfId="0" applyNumberFormat="1" applyFont="1" applyAlignment="1">
      <alignment vertical="top"/>
    </xf>
    <xf numFmtId="0" fontId="5" fillId="2" borderId="0" xfId="0" applyFont="1" applyFill="1"/>
    <xf numFmtId="4" fontId="0" fillId="0" borderId="0" xfId="0" applyNumberFormat="1"/>
    <xf numFmtId="0" fontId="10" fillId="0" borderId="0" xfId="0" applyFont="1"/>
    <xf numFmtId="0" fontId="12" fillId="0" borderId="0" xfId="0" applyFont="1"/>
    <xf numFmtId="16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4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0" formatCode="General"/>
    </dxf>
    <dxf>
      <font>
        <color rgb="FF0000FF"/>
      </font>
    </dxf>
    <dxf>
      <numFmt numFmtId="0" formatCode="General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#,##0;\(#,##0\);\-"/>
    </dxf>
    <dxf>
      <font>
        <color rgb="FF008000"/>
      </font>
      <numFmt numFmtId="166" formatCode="#,##0;\(#,##0\);\-"/>
    </dxf>
    <dxf>
      <font>
        <color rgb="FF008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00"/>
      </font>
      <numFmt numFmtId="166" formatCode="#,##0;\(#,##0\);\-"/>
    </dxf>
    <dxf>
      <font>
        <color rgb="FF0000FF"/>
      </font>
      <numFmt numFmtId="166" formatCode="#,##0;\(#,##0\);\-"/>
    </dxf>
    <dxf>
      <numFmt numFmtId="19" formatCode="dd/mm/yyyy"/>
    </dxf>
    <dxf>
      <alignment vertical="top" wrapText="0"/>
    </dxf>
    <dxf>
      <alignment vertical="top" wrapText="0"/>
    </dxf>
    <dxf>
      <font>
        <color rgb="FF008000"/>
      </font>
      <alignment vertical="top" wrapText="0"/>
    </dxf>
    <dxf>
      <alignment vertical="top" wrapText="0"/>
    </dxf>
    <dxf>
      <alignment vertical="top" wrapText="0"/>
    </dxf>
    <dxf>
      <alignment vertical="top" wrapText="0"/>
    </dxf>
    <dxf>
      <alignment vertical="top" wrapText="0"/>
    </dxf>
    <dxf>
      <alignment vertical="top" wrapText="0"/>
    </dxf>
    <dxf>
      <alignment vertical="top" wrapText="0"/>
    </dxf>
    <dxf>
      <alignment vertical="top" wrapText="0"/>
    </dxf>
    <dxf>
      <alignment vertical="top" wrapText="0"/>
    </dxf>
    <dxf>
      <alignment vertical="top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C92D0B-6A99-4D4D-90AB-C4B9A4C10AFA}" autoFormatId="16" applyNumberFormats="0" applyBorderFormats="0" applyFontFormats="0" applyPatternFormats="0" applyAlignmentFormats="0" applyWidthHeightFormats="0">
  <queryTableRefresh nextId="20" unboundColumnsRight="4">
    <queryTableFields count="19">
      <queryTableField id="1" name="date" tableColumnId="1"/>
      <queryTableField id="2" name="revenue" tableColumnId="2"/>
      <queryTableField id="3" name="cogs" tableColumnId="3"/>
      <queryTableField id="4" name="gross_profit" tableColumnId="4"/>
      <queryTableField id="5" name="opex" tableColumnId="5"/>
      <queryTableField id="6" name="ebitda" tableColumnId="6"/>
      <queryTableField id="7" name="depreciation" tableColumnId="7"/>
      <queryTableField id="8" name="interest" tableColumnId="8"/>
      <queryTableField id="15" dataBound="0" tableColumnId="15"/>
      <queryTableField id="9" name="tax" tableColumnId="9"/>
      <queryTableField id="10" name="net_income" tableColumnId="10"/>
      <queryTableField id="11" name="capex" tableColumnId="11"/>
      <queryTableField id="12" name="cash_flow" tableColumnId="12"/>
      <queryTableField id="13" name="closing_cash" tableColumnId="13"/>
      <queryTableField id="14" name="opening_cash" tableColumnId="14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79F443C-BF8E-4C59-BC7E-5CE53F6DCDDC}" autoFormatId="16" applyNumberFormats="0" applyBorderFormats="0" applyFontFormats="0" applyPatternFormats="0" applyAlignmentFormats="0" applyWidthHeightFormats="0">
  <queryTableRefresh nextId="4">
    <queryTableFields count="3">
      <queryTableField id="1" name="assumption" tableColumnId="1"/>
      <queryTableField id="2" name="value" tableColumnId="2"/>
      <queryTableField id="3" name="not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28600E1-9F6A-4735-B13B-7B1E9A446887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revenue" tableColumnId="2"/>
      <queryTableField id="3" name="cogs" tableColumnId="3"/>
      <queryTableField id="4" name="gross_profit" tableColumnId="4"/>
      <queryTableField id="5" name="opex" tableColumnId="5"/>
      <queryTableField id="6" name="ebitda" tableColumnId="6"/>
      <queryTableField id="7" name="depreciation" tableColumnId="7"/>
      <queryTableField id="8" name="interest" tableColumnId="8"/>
      <queryTableField id="9" name="tax" tableColumnId="9"/>
      <queryTableField id="10" name="net_income" tableColumnId="10"/>
      <queryTableField id="11" name="capex" tableColumnId="11"/>
      <queryTableField id="12" name="cash_flow" tableColumnId="12"/>
      <queryTableField id="13" name="closing_cash" tableColumnId="13"/>
      <queryTableField id="14" name="opening_cas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F7641-57E0-406A-9FB7-4EF241801B13}" name="tblPL" displayName="tblPL" ref="A1:S38" tableType="queryTable" totalsRowShown="0">
  <autoFilter ref="A1:S38" xr:uid="{3DDF7641-57E0-406A-9FB7-4EF241801B13}"/>
  <tableColumns count="19">
    <tableColumn id="1" xr3:uid="{B42AA9E5-259C-4B8C-B7D1-1E66F1CD7693}" uniqueName="1" name="date" queryTableFieldId="1" dataDxfId="35"/>
    <tableColumn id="2" xr3:uid="{E7FFEB6A-B233-4577-8F20-3D40CAB78EC2}" uniqueName="2" name="revenue" queryTableFieldId="2" dataDxfId="34"/>
    <tableColumn id="3" xr3:uid="{31B846CE-1BA6-464F-B72D-6954714DEED8}" uniqueName="3" name="cogs" queryTableFieldId="3" dataDxfId="33"/>
    <tableColumn id="4" xr3:uid="{C85C00A7-C260-4E16-909B-912BB94A7FAC}" uniqueName="4" name="gross_profit" queryTableFieldId="4" dataDxfId="32"/>
    <tableColumn id="5" xr3:uid="{7A579747-D0B9-4E0B-9BD9-0AC35B2A6A2A}" uniqueName="5" name="opex" queryTableFieldId="5" dataDxfId="31"/>
    <tableColumn id="6" xr3:uid="{EFAA0CA6-6E6F-48C2-94F6-CE664DA366D4}" uniqueName="6" name="ebitda" queryTableFieldId="6" dataDxfId="30"/>
    <tableColumn id="7" xr3:uid="{29466140-9570-45C6-8F0B-52E7DB58571B}" uniqueName="7" name="depreciation" queryTableFieldId="7" dataDxfId="29"/>
    <tableColumn id="8" xr3:uid="{9B61B99D-F80B-4C63-A680-1170E5145C0C}" uniqueName="8" name="interest" queryTableFieldId="8" dataDxfId="28"/>
    <tableColumn id="15" xr3:uid="{5BDF28E7-92F8-42D1-8721-F74BDBC36698}" uniqueName="15" name="pre_tax_profit" queryTableFieldId="15" dataDxfId="27">
      <calculatedColumnFormula>tblPL[[#This Row],[ebitda]]-tblPL[[#This Row],[depreciation]]-tblPL[[#This Row],[interest]]</calculatedColumnFormula>
    </tableColumn>
    <tableColumn id="9" xr3:uid="{F627175E-48CB-4CB5-91BC-B69DDFEEBF05}" uniqueName="9" name="tax" queryTableFieldId="9" dataDxfId="26"/>
    <tableColumn id="10" xr3:uid="{E14D6EFB-031B-4422-AAF8-9712B68F0C44}" uniqueName="10" name="net_income" queryTableFieldId="10" dataDxfId="25"/>
    <tableColumn id="11" xr3:uid="{DC59894A-6EE7-4C88-82CD-AFE1FCB494CE}" uniqueName="11" name="capex" queryTableFieldId="11" dataDxfId="24"/>
    <tableColumn id="12" xr3:uid="{70434ECE-358C-4A2F-A66D-EF4B3E47BFED}" uniqueName="12" name="cash_flow" queryTableFieldId="12" dataDxfId="23"/>
    <tableColumn id="13" xr3:uid="{4BCF849A-D267-4111-BB20-C97A946D1F5A}" uniqueName="13" name="closing_cash" queryTableFieldId="13" dataDxfId="22"/>
    <tableColumn id="14" xr3:uid="{7FA0E968-C1EC-4BDD-86B7-750F16224873}" uniqueName="14" name="opening_cash" queryTableFieldId="14" dataDxfId="21"/>
    <tableColumn id="16" xr3:uid="{E32359A7-D391-4740-86AD-790AC9C72767}" uniqueName="16" name="tax_loss_crfwd" queryTableFieldId="16" dataDxfId="20">
      <calculatedColumnFormula>MAX(0,Assumptions!$B$14-tblPL[[#This Row],[pre_tax_profit]])</calculatedColumnFormula>
    </tableColumn>
    <tableColumn id="17" xr3:uid="{DA0BC986-2F37-4405-B878-A4FF754F66A4}" uniqueName="17" name="dta" queryTableFieldId="17" dataDxfId="19">
      <calculatedColumnFormula>tblPL[[#This Row],[tax_loss_crfwd]]*Assumptions!$B$6</calculatedColumnFormula>
    </tableColumn>
    <tableColumn id="18" xr3:uid="{8E12DEB1-85E9-4DC4-8488-C18E08D3C22E}" uniqueName="18" name="cash_tax" queryTableFieldId="18" dataDxfId="18">
      <calculatedColumnFormula>MAX(0,tblPL[[#This Row],[pre_tax_profit]]-Assumptions!$B$14)*Assumptions!$B$6</calculatedColumnFormula>
    </tableColumn>
    <tableColumn id="19" xr3:uid="{6AC4D3A2-1EF4-431E-88D2-05D8F95FA5D6}" uniqueName="19" name="deferred_tax" queryTableFieldId="19" dataDxfId="17">
      <calculatedColumnFormula>Assumptions!$B$14*Assumptions!$B$6-tblPL[[#This Row],[dta]]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A94A8-95BB-4342-8771-DAE8ED8EDF02}" name="tblAssumptions" displayName="tblAssumptions" ref="A1:C14" tableType="queryTable" totalsRowShown="0">
  <autoFilter ref="A1:C14" xr:uid="{37BA94A8-95BB-4342-8771-DAE8ED8EDF02}"/>
  <tableColumns count="3">
    <tableColumn id="1" xr3:uid="{B954BF43-596D-4467-9B13-19677F431124}" uniqueName="1" name="assumption" queryTableFieldId="1" dataDxfId="16"/>
    <tableColumn id="2" xr3:uid="{0CA8F824-A05A-4172-82F5-8B231DE3E79F}" uniqueName="2" name="value" queryTableFieldId="2" dataDxfId="15"/>
    <tableColumn id="3" xr3:uid="{38FF7441-5F47-475E-82C9-35AD2E061207}" uniqueName="3" name="notes" queryTableFieldId="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AB6AFD-24B2-4379-BAD1-7118FEDC781F}" name="tblConstantsAudit" displayName="tblConstantsAudit" ref="A16:J36" totalsRowShown="0" headerRowDxfId="47" dataDxfId="46">
  <autoFilter ref="A16:J36" xr:uid="{F1AB6AFD-24B2-4379-BAD1-7118FEDC781F}"/>
  <tableColumns count="10">
    <tableColumn id="1" xr3:uid="{3D62FC3E-73E4-45DC-A777-9C20751C54AD}" name="Cell range" dataDxfId="45"/>
    <tableColumn id="2" xr3:uid="{FE332E82-AB3C-4D72-B0E1-411E7BB168B8}" name="P&amp;L column" dataDxfId="44"/>
    <tableColumn id="3" xr3:uid="{0DAE89F7-668D-4A25-B864-FEF0AF6EA19C}" name="Original content" dataDxfId="43"/>
    <tableColumn id="4" xr3:uid="{66F49C9B-86F9-4D91-92B8-429EC4F8C923}" name="Detected constant" dataDxfId="42"/>
    <tableColumn id="5" xr3:uid="{0003F963-1385-4968-A4D8-232CBF33B751}" name="Suggested named assumption" dataDxfId="41"/>
    <tableColumn id="6" xr3:uid="{BCDB82CA-FD89-4A80-9597-B8DC345BF022}" name="Assumptions cell" dataDxfId="40"/>
    <tableColumn id="7" xr3:uid="{93910D13-1DC6-44DE-9EEC-51E22344E9BD}" name="Assumption value" dataDxfId="39"/>
    <tableColumn id="8" xr3:uid="{77C046C3-D1DC-46DF-BFFC-9D007AB83443}" name="Fixed formula (live from P&amp;L)" dataDxfId="38"/>
    <tableColumn id="9" xr3:uid="{3674E1BC-61E2-4A17-ABB0-E3F70C2DFE9F}" name="Cells using" dataDxfId="37"/>
    <tableColumn id="10" xr3:uid="{065C7471-1E26-4F1E-BC47-B2356172F002}" name="Change not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22421-7FB8-4F4F-9FF3-F9B044752BAC}" name="tblPL_Original" displayName="tblPL_Original" ref="A1:N38" tableType="queryTable" totalsRowShown="0">
  <autoFilter ref="A1:N38" xr:uid="{3DDF7641-57E0-406A-9FB7-4EF241801B13}"/>
  <tableColumns count="14">
    <tableColumn id="1" xr3:uid="{FF2A30FD-E3E1-4CB5-AE01-3D4905874565}" uniqueName="1" name="date" queryTableFieldId="1" dataDxfId="13"/>
    <tableColumn id="2" xr3:uid="{48A102B6-E16B-4503-8854-20A1B89D9E5F}" uniqueName="2" name="revenue" queryTableFieldId="2" dataDxfId="12"/>
    <tableColumn id="3" xr3:uid="{C784B8EE-59C1-4885-BD2D-B9EDEE586772}" uniqueName="3" name="cogs" queryTableFieldId="3" dataDxfId="11"/>
    <tableColumn id="4" xr3:uid="{67FA6679-142D-4A04-B511-7C5DC8A57F38}" uniqueName="4" name="gross_profit" queryTableFieldId="4" dataDxfId="10"/>
    <tableColumn id="5" xr3:uid="{6F8D9F0D-9C41-4FD8-9ECE-B16927260A9F}" uniqueName="5" name="opex" queryTableFieldId="5" dataDxfId="9"/>
    <tableColumn id="6" xr3:uid="{11FC32A4-1CF4-49EB-BDE2-5D9B106BC585}" uniqueName="6" name="ebitda" queryTableFieldId="6" dataDxfId="8"/>
    <tableColumn id="7" xr3:uid="{84E917B8-C29E-4398-9A58-52989CE2BB36}" uniqueName="7" name="depreciation" queryTableFieldId="7" dataDxfId="7"/>
    <tableColumn id="8" xr3:uid="{551F8F89-6B75-48E2-9C4C-D65251B694E6}" uniqueName="8" name="interest" queryTableFieldId="8" dataDxfId="6"/>
    <tableColumn id="9" xr3:uid="{2D40F4E8-E794-4723-8A08-1E9CDD851E29}" uniqueName="9" name="tax" queryTableFieldId="9" dataDxfId="5"/>
    <tableColumn id="10" xr3:uid="{E54BF46D-EF43-4528-95D8-E3BA92DF7CFD}" uniqueName="10" name="net_income" queryTableFieldId="10" dataDxfId="4"/>
    <tableColumn id="11" xr3:uid="{E94E6113-C736-4BDF-AAE4-807C2CD4D5D1}" uniqueName="11" name="capex" queryTableFieldId="11" dataDxfId="3"/>
    <tableColumn id="12" xr3:uid="{461877F4-D775-47E3-8A14-3E1A96FB1ABD}" uniqueName="12" name="cash_flow" queryTableFieldId="12" dataDxfId="2"/>
    <tableColumn id="13" xr3:uid="{8D638F77-A025-4F6D-B2E9-B30229CA4D35}" uniqueName="13" name="closing_cash" queryTableFieldId="13" dataDxfId="1"/>
    <tableColumn id="14" xr3:uid="{770D102F-B8C5-4A46-877B-FDD130D6F5E4}" uniqueName="14" name="opening_cash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CB72B0-51CB-4A6C-ABB9-F0EF305CA7A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a76a518-b551-4439-810b-966d2e7b1fc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workbookViewId="0">
      <selection activeCell="I41" sqref="I41:XFD41"/>
    </sheetView>
  </sheetViews>
  <sheetFormatPr defaultRowHeight="14.5" x14ac:dyDescent="0.35"/>
  <cols>
    <col min="1" max="1" width="10.7265625" bestFit="1" customWidth="1"/>
    <col min="2" max="2" width="10.81640625" bestFit="1" customWidth="1"/>
    <col min="3" max="3" width="8.1796875" bestFit="1" customWidth="1"/>
    <col min="4" max="4" width="14" bestFit="1" customWidth="1"/>
    <col min="5" max="6" width="9.1796875" bestFit="1" customWidth="1"/>
    <col min="7" max="7" width="14.7265625" bestFit="1" customWidth="1"/>
    <col min="8" max="8" width="10.453125" bestFit="1" customWidth="1"/>
    <col min="9" max="9" width="18.1796875" customWidth="1"/>
    <col min="10" max="10" width="14" bestFit="1" customWidth="1"/>
    <col min="11" max="11" width="9.1796875" bestFit="1" customWidth="1"/>
    <col min="12" max="12" width="12.26953125" bestFit="1" customWidth="1"/>
    <col min="13" max="13" width="14.453125" bestFit="1" customWidth="1"/>
    <col min="14" max="14" width="15.7265625" bestFit="1" customWidth="1"/>
    <col min="16" max="19" width="18.17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203</v>
      </c>
      <c r="Q1" t="s">
        <v>204</v>
      </c>
      <c r="R1" t="s">
        <v>205</v>
      </c>
      <c r="S1" t="s">
        <v>206</v>
      </c>
    </row>
    <row r="2" spans="1:19" x14ac:dyDescent="0.35">
      <c r="A2" s="1">
        <v>44927</v>
      </c>
      <c r="B2" s="15">
        <v>0</v>
      </c>
      <c r="C2" s="16">
        <f>tblPL[[#This Row],[revenue]]*Assumptions!$B$4</f>
        <v>0</v>
      </c>
      <c r="D2" s="16">
        <f>tblPL[[#This Row],[revenue]]-tblPL[[#This Row],[cogs]]</f>
        <v>0</v>
      </c>
      <c r="E2" s="16">
        <f>Assumptions!$B$8+tblPL[[#This Row],[revenue]]*Assumptions!$B$5</f>
        <v>6000</v>
      </c>
      <c r="F2" s="16">
        <f>tblPL[[#This Row],[gross_profit]]-tblPL[[#This Row],[opex]]</f>
        <v>-6000</v>
      </c>
      <c r="G2" s="17">
        <f>Assumptions!$B$9</f>
        <v>1500</v>
      </c>
      <c r="H2" s="17">
        <f>Assumptions!$B$10</f>
        <v>900</v>
      </c>
      <c r="I2" s="16">
        <f>tblPL[[#This Row],[ebitda]]-tblPL[[#This Row],[depreciation]]-tblPL[[#This Row],[interest]]</f>
        <v>-8400</v>
      </c>
      <c r="J2" s="16">
        <f>tblPL[[#This Row],[cash_tax]]+tblPL[[#This Row],[deferred_tax]]</f>
        <v>-2100</v>
      </c>
      <c r="K2" s="16">
        <f>tblPL[[#This Row],[pre_tax_profit]]-tblPL[[#This Row],[tax]]</f>
        <v>-6300</v>
      </c>
      <c r="L2" s="16">
        <f>IF(MONTH(tblPL[[#This Row],[date]])=1,Assumptions!$B$11,Assumptions!$B$12)</f>
        <v>18000</v>
      </c>
      <c r="M2" s="16">
        <f>tblPL[[#This Row],[net_income]]+tblPL[[#This Row],[depreciation]]-tblPL[[#This Row],[capex]]+tblPL[[#This Row],[deferred_tax]]</f>
        <v>-24900</v>
      </c>
      <c r="N2" s="16">
        <f>tblPL[[#This Row],[opening_cash]]+tblPL[[#This Row],[cash_flow]]</f>
        <v>75100</v>
      </c>
      <c r="O2" s="17">
        <f>Assumptions!$B$13</f>
        <v>100000</v>
      </c>
      <c r="P2" s="16">
        <f>MAX(0,Assumptions!$B$14-tblPL[[#This Row],[pre_tax_profit]])</f>
        <v>8400</v>
      </c>
      <c r="Q2" s="16">
        <f>tblPL[[#This Row],[tax_loss_crfwd]]*Assumptions!$B$6</f>
        <v>2100</v>
      </c>
      <c r="R2" s="16">
        <f>MAX(0,tblPL[[#This Row],[pre_tax_profit]]-Assumptions!$B$14)*Assumptions!$B$6</f>
        <v>0</v>
      </c>
      <c r="S2" s="16">
        <f>Assumptions!$B$14*Assumptions!$B$6-tblPL[[#This Row],[dta]]</f>
        <v>-2100</v>
      </c>
    </row>
    <row r="3" spans="1:19" x14ac:dyDescent="0.35">
      <c r="A3" s="1">
        <v>44958</v>
      </c>
      <c r="B3" s="15">
        <v>520.48</v>
      </c>
      <c r="C3" s="16">
        <f>tblPL[[#This Row],[revenue]]*Assumptions!$B$4</f>
        <v>166.55360000000002</v>
      </c>
      <c r="D3" s="16">
        <f>tblPL[[#This Row],[revenue]]-tblPL[[#This Row],[cogs]]</f>
        <v>353.9264</v>
      </c>
      <c r="E3" s="16">
        <f>Assumptions!$B$8+tblPL[[#This Row],[revenue]]*Assumptions!$B$5</f>
        <v>6093.6863999999996</v>
      </c>
      <c r="F3" s="16">
        <f>tblPL[[#This Row],[gross_profit]]-tblPL[[#This Row],[opex]]</f>
        <v>-5739.7599999999993</v>
      </c>
      <c r="G3" s="17">
        <f>Assumptions!$B$9</f>
        <v>1500</v>
      </c>
      <c r="H3" s="17">
        <f>Assumptions!$B$10</f>
        <v>900</v>
      </c>
      <c r="I3" s="16">
        <f>tblPL[[#This Row],[ebitda]]-tblPL[[#This Row],[depreciation]]-tblPL[[#This Row],[interest]]</f>
        <v>-8139.7599999999993</v>
      </c>
      <c r="J3" s="16">
        <f>tblPL[[#This Row],[cash_tax]]+tblPL[[#This Row],[deferred_tax]]</f>
        <v>-2034.9399999999996</v>
      </c>
      <c r="K3" s="16">
        <f>tblPL[[#This Row],[pre_tax_profit]]-tblPL[[#This Row],[tax]]</f>
        <v>-6104.82</v>
      </c>
      <c r="L3" s="16">
        <f>IF(MONTH(tblPL[[#This Row],[date]])=1,Assumptions!$B$11,Assumptions!$B$12)</f>
        <v>3500</v>
      </c>
      <c r="M3" s="16">
        <f>tblPL[[#This Row],[net_income]]+tblPL[[#This Row],[depreciation]]-tblPL[[#This Row],[capex]]+tblPL[[#This Row],[deferred_tax]]</f>
        <v>-10139.759999999998</v>
      </c>
      <c r="N3" s="16">
        <f>tblPL[[#This Row],[opening_cash]]+tblPL[[#This Row],[cash_flow]]</f>
        <v>64960.240000000005</v>
      </c>
      <c r="O3" s="16">
        <f t="shared" ref="O3:O38" si="0">N2</f>
        <v>75100</v>
      </c>
      <c r="P3" s="16">
        <f>MAX(0,P2-tblPL[[#This Row],[pre_tax_profit]])</f>
        <v>16539.759999999998</v>
      </c>
      <c r="Q3" s="16">
        <f>tblPL[[#This Row],[tax_loss_crfwd]]*Assumptions!$B$6</f>
        <v>4134.9399999999996</v>
      </c>
      <c r="R3" s="16">
        <f>MAX(0,tblPL[[#This Row],[pre_tax_profit]]-P2)*Assumptions!$B$6</f>
        <v>0</v>
      </c>
      <c r="S3" s="16">
        <f>Q2-tblPL[[#This Row],[dta]]</f>
        <v>-2034.9399999999996</v>
      </c>
    </row>
    <row r="4" spans="1:19" x14ac:dyDescent="0.35">
      <c r="A4" s="1">
        <v>44986</v>
      </c>
      <c r="B4" s="15">
        <v>1248.32</v>
      </c>
      <c r="C4" s="16">
        <f>tblPL[[#This Row],[revenue]]*Assumptions!$B$4</f>
        <v>399.4624</v>
      </c>
      <c r="D4" s="16">
        <f>tblPL[[#This Row],[revenue]]-tblPL[[#This Row],[cogs]]</f>
        <v>848.85759999999993</v>
      </c>
      <c r="E4" s="16">
        <f>Assumptions!$B$8+tblPL[[#This Row],[revenue]]*Assumptions!$B$5</f>
        <v>6224.6976000000004</v>
      </c>
      <c r="F4" s="16">
        <f>tblPL[[#This Row],[gross_profit]]-tblPL[[#This Row],[opex]]</f>
        <v>-5375.84</v>
      </c>
      <c r="G4" s="17">
        <f>Assumptions!$B$9</f>
        <v>1500</v>
      </c>
      <c r="H4" s="17">
        <f>Assumptions!$B$10</f>
        <v>900</v>
      </c>
      <c r="I4" s="16">
        <f>tblPL[[#This Row],[ebitda]]-tblPL[[#This Row],[depreciation]]-tblPL[[#This Row],[interest]]</f>
        <v>-7775.84</v>
      </c>
      <c r="J4" s="16">
        <f>tblPL[[#This Row],[cash_tax]]+tblPL[[#This Row],[deferred_tax]]</f>
        <v>-1943.96</v>
      </c>
      <c r="K4" s="16">
        <f>tblPL[[#This Row],[pre_tax_profit]]-tblPL[[#This Row],[tax]]</f>
        <v>-5831.88</v>
      </c>
      <c r="L4" s="16">
        <f>IF(MONTH(tblPL[[#This Row],[date]])=1,Assumptions!$B$11,Assumptions!$B$12)</f>
        <v>3500</v>
      </c>
      <c r="M4" s="16">
        <f>tblPL[[#This Row],[net_income]]+tblPL[[#This Row],[depreciation]]-tblPL[[#This Row],[capex]]+tblPL[[#This Row],[deferred_tax]]</f>
        <v>-9775.84</v>
      </c>
      <c r="N4" s="16">
        <f>tblPL[[#This Row],[opening_cash]]+tblPL[[#This Row],[cash_flow]]</f>
        <v>55184.400000000009</v>
      </c>
      <c r="O4" s="16">
        <f t="shared" si="0"/>
        <v>64960.240000000005</v>
      </c>
      <c r="P4" s="16">
        <f>MAX(0,P3-tblPL[[#This Row],[pre_tax_profit]])</f>
        <v>24315.599999999999</v>
      </c>
      <c r="Q4" s="16">
        <f>tblPL[[#This Row],[tax_loss_crfwd]]*Assumptions!$B$6</f>
        <v>6078.9</v>
      </c>
      <c r="R4" s="16">
        <f>MAX(0,tblPL[[#This Row],[pre_tax_profit]]-P3)*Assumptions!$B$6</f>
        <v>0</v>
      </c>
      <c r="S4" s="16">
        <f>Q3-tblPL[[#This Row],[dta]]</f>
        <v>-1943.96</v>
      </c>
    </row>
    <row r="5" spans="1:19" x14ac:dyDescent="0.35">
      <c r="A5" s="1">
        <v>45017</v>
      </c>
      <c r="B5" s="15">
        <v>2187.64</v>
      </c>
      <c r="C5" s="16">
        <f>tblPL[[#This Row],[revenue]]*Assumptions!$B$4</f>
        <v>700.04480000000001</v>
      </c>
      <c r="D5" s="16">
        <f>tblPL[[#This Row],[revenue]]-tblPL[[#This Row],[cogs]]</f>
        <v>1487.5951999999997</v>
      </c>
      <c r="E5" s="16">
        <f>Assumptions!$B$8+tblPL[[#This Row],[revenue]]*Assumptions!$B$5</f>
        <v>6393.7752</v>
      </c>
      <c r="F5" s="16">
        <f>tblPL[[#This Row],[gross_profit]]-tblPL[[#This Row],[opex]]</f>
        <v>-4906.18</v>
      </c>
      <c r="G5" s="17">
        <f>Assumptions!$B$9</f>
        <v>1500</v>
      </c>
      <c r="H5" s="17">
        <f>Assumptions!$B$10</f>
        <v>900</v>
      </c>
      <c r="I5" s="16">
        <f>tblPL[[#This Row],[ebitda]]-tblPL[[#This Row],[depreciation]]-tblPL[[#This Row],[interest]]</f>
        <v>-7306.18</v>
      </c>
      <c r="J5" s="16">
        <f>tblPL[[#This Row],[cash_tax]]+tblPL[[#This Row],[deferred_tax]]</f>
        <v>-1826.5450000000001</v>
      </c>
      <c r="K5" s="16">
        <f>tblPL[[#This Row],[pre_tax_profit]]-tblPL[[#This Row],[tax]]</f>
        <v>-5479.6350000000002</v>
      </c>
      <c r="L5" s="16">
        <f>IF(MONTH(tblPL[[#This Row],[date]])=1,Assumptions!$B$11,Assumptions!$B$12)</f>
        <v>3500</v>
      </c>
      <c r="M5" s="16">
        <f>tblPL[[#This Row],[net_income]]+tblPL[[#This Row],[depreciation]]-tblPL[[#This Row],[capex]]+tblPL[[#This Row],[deferred_tax]]</f>
        <v>-9306.18</v>
      </c>
      <c r="N5" s="16">
        <f>tblPL[[#This Row],[opening_cash]]+tblPL[[#This Row],[cash_flow]]</f>
        <v>45878.220000000008</v>
      </c>
      <c r="O5" s="16">
        <f t="shared" si="0"/>
        <v>55184.400000000009</v>
      </c>
      <c r="P5" s="16">
        <f>MAX(0,P4-tblPL[[#This Row],[pre_tax_profit]])</f>
        <v>31621.78</v>
      </c>
      <c r="Q5" s="16">
        <f>tblPL[[#This Row],[tax_loss_crfwd]]*Assumptions!$B$6</f>
        <v>7905.4449999999997</v>
      </c>
      <c r="R5" s="16">
        <f>MAX(0,tblPL[[#This Row],[pre_tax_profit]]-P4)*Assumptions!$B$6</f>
        <v>0</v>
      </c>
      <c r="S5" s="16">
        <f>Q4-tblPL[[#This Row],[dta]]</f>
        <v>-1826.5450000000001</v>
      </c>
    </row>
    <row r="6" spans="1:19" x14ac:dyDescent="0.35">
      <c r="A6" s="1">
        <v>45047</v>
      </c>
      <c r="B6" s="15">
        <v>3121.8</v>
      </c>
      <c r="C6" s="16">
        <f>tblPL[[#This Row],[revenue]]*Assumptions!$B$4</f>
        <v>998.97600000000011</v>
      </c>
      <c r="D6" s="16">
        <f>tblPL[[#This Row],[revenue]]-tblPL[[#This Row],[cogs]]</f>
        <v>2122.8240000000001</v>
      </c>
      <c r="E6" s="16">
        <f>Assumptions!$B$8+tblPL[[#This Row],[revenue]]*Assumptions!$B$5</f>
        <v>6561.924</v>
      </c>
      <c r="F6" s="16">
        <f>tblPL[[#This Row],[gross_profit]]-tblPL[[#This Row],[opex]]</f>
        <v>-4439.1000000000004</v>
      </c>
      <c r="G6" s="17">
        <f>Assumptions!$B$9</f>
        <v>1500</v>
      </c>
      <c r="H6" s="17">
        <f>Assumptions!$B$10</f>
        <v>900</v>
      </c>
      <c r="I6" s="16">
        <f>tblPL[[#This Row],[ebitda]]-tblPL[[#This Row],[depreciation]]-tblPL[[#This Row],[interest]]</f>
        <v>-6839.1</v>
      </c>
      <c r="J6" s="16">
        <f>tblPL[[#This Row],[cash_tax]]+tblPL[[#This Row],[deferred_tax]]</f>
        <v>-1709.7749999999996</v>
      </c>
      <c r="K6" s="16">
        <f>tblPL[[#This Row],[pre_tax_profit]]-tblPL[[#This Row],[tax]]</f>
        <v>-5129.3250000000007</v>
      </c>
      <c r="L6" s="16">
        <f>IF(MONTH(tblPL[[#This Row],[date]])=1,Assumptions!$B$11,Assumptions!$B$12)</f>
        <v>3500</v>
      </c>
      <c r="M6" s="16">
        <f>tblPL[[#This Row],[net_income]]+tblPL[[#This Row],[depreciation]]-tblPL[[#This Row],[capex]]+tblPL[[#This Row],[deferred_tax]]</f>
        <v>-8839.1</v>
      </c>
      <c r="N6" s="16">
        <f>tblPL[[#This Row],[opening_cash]]+tblPL[[#This Row],[cash_flow]]</f>
        <v>37039.12000000001</v>
      </c>
      <c r="O6" s="16">
        <f t="shared" si="0"/>
        <v>45878.220000000008</v>
      </c>
      <c r="P6" s="16">
        <f>MAX(0,P5-tblPL[[#This Row],[pre_tax_profit]])</f>
        <v>38460.879999999997</v>
      </c>
      <c r="Q6" s="16">
        <f>tblPL[[#This Row],[tax_loss_crfwd]]*Assumptions!$B$6</f>
        <v>9615.2199999999993</v>
      </c>
      <c r="R6" s="16">
        <f>MAX(0,tblPL[[#This Row],[pre_tax_profit]]-P5)*Assumptions!$B$6</f>
        <v>0</v>
      </c>
      <c r="S6" s="16">
        <f>Q5-tblPL[[#This Row],[dta]]</f>
        <v>-1709.7749999999996</v>
      </c>
    </row>
    <row r="7" spans="1:19" x14ac:dyDescent="0.35">
      <c r="A7" s="1">
        <v>45078</v>
      </c>
      <c r="B7" s="15">
        <v>3930.56</v>
      </c>
      <c r="C7" s="16">
        <f>tblPL[[#This Row],[revenue]]*Assumptions!$B$4</f>
        <v>1257.7791999999999</v>
      </c>
      <c r="D7" s="16">
        <f>tblPL[[#This Row],[revenue]]-tblPL[[#This Row],[cogs]]</f>
        <v>2672.7808</v>
      </c>
      <c r="E7" s="16">
        <f>Assumptions!$B$8+tblPL[[#This Row],[revenue]]*Assumptions!$B$5</f>
        <v>6707.5007999999998</v>
      </c>
      <c r="F7" s="16">
        <f>tblPL[[#This Row],[gross_profit]]-tblPL[[#This Row],[opex]]</f>
        <v>-4034.72</v>
      </c>
      <c r="G7" s="17">
        <f>Assumptions!$B$9</f>
        <v>1500</v>
      </c>
      <c r="H7" s="17">
        <f>Assumptions!$B$10</f>
        <v>900</v>
      </c>
      <c r="I7" s="16">
        <f>tblPL[[#This Row],[ebitda]]-tblPL[[#This Row],[depreciation]]-tblPL[[#This Row],[interest]]</f>
        <v>-6434.7199999999993</v>
      </c>
      <c r="J7" s="16">
        <f>tblPL[[#This Row],[cash_tax]]+tblPL[[#This Row],[deferred_tax]]</f>
        <v>-1608.6800000000003</v>
      </c>
      <c r="K7" s="16">
        <f>tblPL[[#This Row],[pre_tax_profit]]-tblPL[[#This Row],[tax]]</f>
        <v>-4826.0399999999991</v>
      </c>
      <c r="L7" s="16">
        <f>IF(MONTH(tblPL[[#This Row],[date]])=1,Assumptions!$B$11,Assumptions!$B$12)</f>
        <v>3500</v>
      </c>
      <c r="M7" s="16">
        <f>tblPL[[#This Row],[net_income]]+tblPL[[#This Row],[depreciation]]-tblPL[[#This Row],[capex]]+tblPL[[#This Row],[deferred_tax]]</f>
        <v>-8434.7199999999993</v>
      </c>
      <c r="N7" s="16">
        <f>tblPL[[#This Row],[opening_cash]]+tblPL[[#This Row],[cash_flow]]</f>
        <v>28604.400000000009</v>
      </c>
      <c r="O7" s="16">
        <f t="shared" si="0"/>
        <v>37039.12000000001</v>
      </c>
      <c r="P7" s="16">
        <f>MAX(0,P6-tblPL[[#This Row],[pre_tax_profit]])</f>
        <v>44895.6</v>
      </c>
      <c r="Q7" s="16">
        <f>tblPL[[#This Row],[tax_loss_crfwd]]*Assumptions!$B$6</f>
        <v>11223.9</v>
      </c>
      <c r="R7" s="16">
        <f>MAX(0,tblPL[[#This Row],[pre_tax_profit]]-P6)*Assumptions!$B$6</f>
        <v>0</v>
      </c>
      <c r="S7" s="16">
        <f>Q6-tblPL[[#This Row],[dta]]</f>
        <v>-1608.6800000000003</v>
      </c>
    </row>
    <row r="8" spans="1:19" x14ac:dyDescent="0.35">
      <c r="A8" s="1">
        <v>45108</v>
      </c>
      <c r="B8" s="15">
        <v>4864.25</v>
      </c>
      <c r="C8" s="16">
        <f>tblPL[[#This Row],[revenue]]*Assumptions!$B$4</f>
        <v>1556.56</v>
      </c>
      <c r="D8" s="16">
        <f>tblPL[[#This Row],[revenue]]-tblPL[[#This Row],[cogs]]</f>
        <v>3307.69</v>
      </c>
      <c r="E8" s="16">
        <f>Assumptions!$B$8+tblPL[[#This Row],[revenue]]*Assumptions!$B$5</f>
        <v>6875.5649999999996</v>
      </c>
      <c r="F8" s="16">
        <f>tblPL[[#This Row],[gross_profit]]-tblPL[[#This Row],[opex]]</f>
        <v>-3567.8749999999995</v>
      </c>
      <c r="G8" s="17">
        <f>Assumptions!$B$9</f>
        <v>1500</v>
      </c>
      <c r="H8" s="17">
        <f>Assumptions!$B$10</f>
        <v>900</v>
      </c>
      <c r="I8" s="16">
        <f>tblPL[[#This Row],[ebitda]]-tblPL[[#This Row],[depreciation]]-tblPL[[#This Row],[interest]]</f>
        <v>-5967.875</v>
      </c>
      <c r="J8" s="16">
        <f>tblPL[[#This Row],[cash_tax]]+tblPL[[#This Row],[deferred_tax]]</f>
        <v>-1491.96875</v>
      </c>
      <c r="K8" s="16">
        <f>tblPL[[#This Row],[pre_tax_profit]]-tblPL[[#This Row],[tax]]</f>
        <v>-4475.90625</v>
      </c>
      <c r="L8" s="16">
        <f>IF(MONTH(tblPL[[#This Row],[date]])=1,Assumptions!$B$11,Assumptions!$B$12)</f>
        <v>3500</v>
      </c>
      <c r="M8" s="16">
        <f>tblPL[[#This Row],[net_income]]+tblPL[[#This Row],[depreciation]]-tblPL[[#This Row],[capex]]+tblPL[[#This Row],[deferred_tax]]</f>
        <v>-7967.875</v>
      </c>
      <c r="N8" s="16">
        <f>tblPL[[#This Row],[opening_cash]]+tblPL[[#This Row],[cash_flow]]</f>
        <v>20636.525000000009</v>
      </c>
      <c r="O8" s="16">
        <f t="shared" si="0"/>
        <v>28604.400000000009</v>
      </c>
      <c r="P8" s="16">
        <f>MAX(0,P7-tblPL[[#This Row],[pre_tax_profit]])</f>
        <v>50863.474999999999</v>
      </c>
      <c r="Q8" s="16">
        <f>tblPL[[#This Row],[tax_loss_crfwd]]*Assumptions!$B$6</f>
        <v>12715.86875</v>
      </c>
      <c r="R8" s="16">
        <f>MAX(0,tblPL[[#This Row],[pre_tax_profit]]-P7)*Assumptions!$B$6</f>
        <v>0</v>
      </c>
      <c r="S8" s="16">
        <f>Q7-tblPL[[#This Row],[dta]]</f>
        <v>-1491.96875</v>
      </c>
    </row>
    <row r="9" spans="1:19" x14ac:dyDescent="0.35">
      <c r="A9" s="1">
        <v>45139</v>
      </c>
      <c r="B9" s="15">
        <v>4932.76</v>
      </c>
      <c r="C9" s="16">
        <f>tblPL[[#This Row],[revenue]]*Assumptions!$B$4</f>
        <v>1578.4832000000001</v>
      </c>
      <c r="D9" s="16">
        <f>tblPL[[#This Row],[revenue]]-tblPL[[#This Row],[cogs]]</f>
        <v>3354.2768000000001</v>
      </c>
      <c r="E9" s="16">
        <f>Assumptions!$B$8+tblPL[[#This Row],[revenue]]*Assumptions!$B$5</f>
        <v>6887.8968000000004</v>
      </c>
      <c r="F9" s="16">
        <f>tblPL[[#This Row],[gross_profit]]-tblPL[[#This Row],[opex]]</f>
        <v>-3533.6200000000003</v>
      </c>
      <c r="G9" s="17">
        <f>Assumptions!$B$9</f>
        <v>1500</v>
      </c>
      <c r="H9" s="17">
        <f>Assumptions!$B$10</f>
        <v>900</v>
      </c>
      <c r="I9" s="16">
        <f>tblPL[[#This Row],[ebitda]]-tblPL[[#This Row],[depreciation]]-tblPL[[#This Row],[interest]]</f>
        <v>-5933.6200000000008</v>
      </c>
      <c r="J9" s="16">
        <f>tblPL[[#This Row],[cash_tax]]+tblPL[[#This Row],[deferred_tax]]</f>
        <v>-1483.4050000000007</v>
      </c>
      <c r="K9" s="16">
        <f>tblPL[[#This Row],[pre_tax_profit]]-tblPL[[#This Row],[tax]]</f>
        <v>-4450.2150000000001</v>
      </c>
      <c r="L9" s="16">
        <f>IF(MONTH(tblPL[[#This Row],[date]])=1,Assumptions!$B$11,Assumptions!$B$12)</f>
        <v>3500</v>
      </c>
      <c r="M9" s="16">
        <f>tblPL[[#This Row],[net_income]]+tblPL[[#This Row],[depreciation]]-tblPL[[#This Row],[capex]]+tblPL[[#This Row],[deferred_tax]]</f>
        <v>-7933.6200000000008</v>
      </c>
      <c r="N9" s="16">
        <f>tblPL[[#This Row],[opening_cash]]+tblPL[[#This Row],[cash_flow]]</f>
        <v>12702.905000000008</v>
      </c>
      <c r="O9" s="16">
        <f t="shared" si="0"/>
        <v>20636.525000000009</v>
      </c>
      <c r="P9" s="16">
        <f>MAX(0,P8-tblPL[[#This Row],[pre_tax_profit]])</f>
        <v>56797.095000000001</v>
      </c>
      <c r="Q9" s="16">
        <f>tblPL[[#This Row],[tax_loss_crfwd]]*Assumptions!$B$6</f>
        <v>14199.27375</v>
      </c>
      <c r="R9" s="16">
        <f>MAX(0,tblPL[[#This Row],[pre_tax_profit]]-P8)*Assumptions!$B$6</f>
        <v>0</v>
      </c>
      <c r="S9" s="16">
        <f>Q8-tblPL[[#This Row],[dta]]</f>
        <v>-1483.4050000000007</v>
      </c>
    </row>
    <row r="10" spans="1:19" x14ac:dyDescent="0.35">
      <c r="A10" s="1">
        <v>45170</v>
      </c>
      <c r="B10" s="15">
        <v>4454.32</v>
      </c>
      <c r="C10" s="16">
        <f>tblPL[[#This Row],[revenue]]*Assumptions!$B$4</f>
        <v>1425.3824</v>
      </c>
      <c r="D10" s="16">
        <f>tblPL[[#This Row],[revenue]]-tblPL[[#This Row],[cogs]]</f>
        <v>3028.9375999999997</v>
      </c>
      <c r="E10" s="16">
        <f>Assumptions!$B$8+tblPL[[#This Row],[revenue]]*Assumptions!$B$5</f>
        <v>6801.7775999999994</v>
      </c>
      <c r="F10" s="16">
        <f>tblPL[[#This Row],[gross_profit]]-tblPL[[#This Row],[opex]]</f>
        <v>-3772.8399999999997</v>
      </c>
      <c r="G10" s="17">
        <f>Assumptions!$B$9</f>
        <v>1500</v>
      </c>
      <c r="H10" s="17">
        <f>Assumptions!$B$10</f>
        <v>900</v>
      </c>
      <c r="I10" s="16">
        <f>tblPL[[#This Row],[ebitda]]-tblPL[[#This Row],[depreciation]]-tblPL[[#This Row],[interest]]</f>
        <v>-6172.84</v>
      </c>
      <c r="J10" s="16">
        <f>tblPL[[#This Row],[cash_tax]]+tblPL[[#This Row],[deferred_tax]]</f>
        <v>-1543.2099999999991</v>
      </c>
      <c r="K10" s="16">
        <f>tblPL[[#This Row],[pre_tax_profit]]-tblPL[[#This Row],[tax]]</f>
        <v>-4629.630000000001</v>
      </c>
      <c r="L10" s="16">
        <f>IF(MONTH(tblPL[[#This Row],[date]])=1,Assumptions!$B$11,Assumptions!$B$12)</f>
        <v>3500</v>
      </c>
      <c r="M10" s="16">
        <f>tblPL[[#This Row],[net_income]]+tblPL[[#This Row],[depreciation]]-tblPL[[#This Row],[capex]]+tblPL[[#This Row],[deferred_tax]]</f>
        <v>-8172.84</v>
      </c>
      <c r="N10" s="16">
        <f>tblPL[[#This Row],[opening_cash]]+tblPL[[#This Row],[cash_flow]]</f>
        <v>4530.0650000000078</v>
      </c>
      <c r="O10" s="16">
        <f t="shared" si="0"/>
        <v>12702.905000000008</v>
      </c>
      <c r="P10" s="16">
        <f>MAX(0,P9-tblPL[[#This Row],[pre_tax_profit]])</f>
        <v>62969.934999999998</v>
      </c>
      <c r="Q10" s="16">
        <f>tblPL[[#This Row],[tax_loss_crfwd]]*Assumptions!$B$6</f>
        <v>15742.483749999999</v>
      </c>
      <c r="R10" s="16">
        <f>MAX(0,tblPL[[#This Row],[pre_tax_profit]]-P9)*Assumptions!$B$6</f>
        <v>0</v>
      </c>
      <c r="S10" s="16">
        <f>Q9-tblPL[[#This Row],[dta]]</f>
        <v>-1543.2099999999991</v>
      </c>
    </row>
    <row r="11" spans="1:19" x14ac:dyDescent="0.35">
      <c r="A11" s="1">
        <v>45200</v>
      </c>
      <c r="B11" s="15">
        <v>4707.53</v>
      </c>
      <c r="C11" s="16">
        <f>tblPL[[#This Row],[revenue]]*Assumptions!$B$4</f>
        <v>1506.4096</v>
      </c>
      <c r="D11" s="16">
        <f>tblPL[[#This Row],[revenue]]-tblPL[[#This Row],[cogs]]</f>
        <v>3201.1203999999998</v>
      </c>
      <c r="E11" s="16">
        <f>Assumptions!$B$8+tblPL[[#This Row],[revenue]]*Assumptions!$B$5</f>
        <v>6847.3554000000004</v>
      </c>
      <c r="F11" s="16">
        <f>tblPL[[#This Row],[gross_profit]]-tblPL[[#This Row],[opex]]</f>
        <v>-3646.2350000000006</v>
      </c>
      <c r="G11" s="17">
        <f>Assumptions!$B$9</f>
        <v>1500</v>
      </c>
      <c r="H11" s="17">
        <f>Assumptions!$B$10</f>
        <v>900</v>
      </c>
      <c r="I11" s="16">
        <f>tblPL[[#This Row],[ebitda]]-tblPL[[#This Row],[depreciation]]-tblPL[[#This Row],[interest]]</f>
        <v>-6046.2350000000006</v>
      </c>
      <c r="J11" s="16">
        <f>tblPL[[#This Row],[cash_tax]]+tblPL[[#This Row],[deferred_tax]]</f>
        <v>-1511.5587500000001</v>
      </c>
      <c r="K11" s="16">
        <f>tblPL[[#This Row],[pre_tax_profit]]-tblPL[[#This Row],[tax]]</f>
        <v>-4534.6762500000004</v>
      </c>
      <c r="L11" s="16">
        <f>IF(MONTH(tblPL[[#This Row],[date]])=1,Assumptions!$B$11,Assumptions!$B$12)</f>
        <v>3500</v>
      </c>
      <c r="M11" s="16">
        <f>tblPL[[#This Row],[net_income]]+tblPL[[#This Row],[depreciation]]-tblPL[[#This Row],[capex]]+tblPL[[#This Row],[deferred_tax]]</f>
        <v>-8046.2350000000006</v>
      </c>
      <c r="N11" s="16">
        <f>tblPL[[#This Row],[opening_cash]]+tblPL[[#This Row],[cash_flow]]</f>
        <v>-3516.1699999999928</v>
      </c>
      <c r="O11" s="16">
        <f t="shared" si="0"/>
        <v>4530.0650000000078</v>
      </c>
      <c r="P11" s="16">
        <f>MAX(0,P10-tblPL[[#This Row],[pre_tax_profit]])</f>
        <v>69016.17</v>
      </c>
      <c r="Q11" s="16">
        <f>tblPL[[#This Row],[tax_loss_crfwd]]*Assumptions!$B$6</f>
        <v>17254.0425</v>
      </c>
      <c r="R11" s="16">
        <f>MAX(0,tblPL[[#This Row],[pre_tax_profit]]-P10)*Assumptions!$B$6</f>
        <v>0</v>
      </c>
      <c r="S11" s="16">
        <f>Q10-tblPL[[#This Row],[dta]]</f>
        <v>-1511.5587500000001</v>
      </c>
    </row>
    <row r="12" spans="1:19" x14ac:dyDescent="0.35">
      <c r="A12" s="1">
        <v>45231</v>
      </c>
      <c r="B12" s="15">
        <v>8435.3799999999992</v>
      </c>
      <c r="C12" s="16">
        <f>tblPL[[#This Row],[revenue]]*Assumptions!$B$4</f>
        <v>2699.3215999999998</v>
      </c>
      <c r="D12" s="16">
        <f>tblPL[[#This Row],[revenue]]-tblPL[[#This Row],[cogs]]</f>
        <v>5736.0583999999999</v>
      </c>
      <c r="E12" s="16">
        <f>Assumptions!$B$8+tblPL[[#This Row],[revenue]]*Assumptions!$B$5</f>
        <v>7518.3683999999994</v>
      </c>
      <c r="F12" s="16">
        <f>tblPL[[#This Row],[gross_profit]]-tblPL[[#This Row],[opex]]</f>
        <v>-1782.3099999999995</v>
      </c>
      <c r="G12" s="17">
        <f>Assumptions!$B$9</f>
        <v>1500</v>
      </c>
      <c r="H12" s="17">
        <f>Assumptions!$B$10</f>
        <v>900</v>
      </c>
      <c r="I12" s="16">
        <f>tblPL[[#This Row],[ebitda]]-tblPL[[#This Row],[depreciation]]-tblPL[[#This Row],[interest]]</f>
        <v>-4182.3099999999995</v>
      </c>
      <c r="J12" s="16">
        <f>tblPL[[#This Row],[cash_tax]]+tblPL[[#This Row],[deferred_tax]]</f>
        <v>-1045.5774999999994</v>
      </c>
      <c r="K12" s="16">
        <f>tblPL[[#This Row],[pre_tax_profit]]-tblPL[[#This Row],[tax]]</f>
        <v>-3136.7325000000001</v>
      </c>
      <c r="L12" s="16">
        <f>IF(MONTH(tblPL[[#This Row],[date]])=1,Assumptions!$B$11,Assumptions!$B$12)</f>
        <v>3500</v>
      </c>
      <c r="M12" s="16">
        <f>tblPL[[#This Row],[net_income]]+tblPL[[#This Row],[depreciation]]-tblPL[[#This Row],[capex]]+tblPL[[#This Row],[deferred_tax]]</f>
        <v>-6182.3099999999995</v>
      </c>
      <c r="N12" s="16">
        <f>tblPL[[#This Row],[opening_cash]]+tblPL[[#This Row],[cash_flow]]</f>
        <v>-9698.4799999999923</v>
      </c>
      <c r="O12" s="16">
        <f t="shared" si="0"/>
        <v>-3516.1699999999928</v>
      </c>
      <c r="P12" s="16">
        <f>MAX(0,P11-tblPL[[#This Row],[pre_tax_profit]])</f>
        <v>73198.48</v>
      </c>
      <c r="Q12" s="16">
        <f>tblPL[[#This Row],[tax_loss_crfwd]]*Assumptions!$B$6</f>
        <v>18299.62</v>
      </c>
      <c r="R12" s="16">
        <f>MAX(0,tblPL[[#This Row],[pre_tax_profit]]-P11)*Assumptions!$B$6</f>
        <v>0</v>
      </c>
      <c r="S12" s="16">
        <f>Q11-tblPL[[#This Row],[dta]]</f>
        <v>-1045.5774999999994</v>
      </c>
    </row>
    <row r="13" spans="1:19" x14ac:dyDescent="0.35">
      <c r="A13" s="1">
        <v>45261</v>
      </c>
      <c r="B13" s="15">
        <v>6872.47</v>
      </c>
      <c r="C13" s="16">
        <f>tblPL[[#This Row],[revenue]]*Assumptions!$B$4</f>
        <v>2199.1904</v>
      </c>
      <c r="D13" s="16">
        <f>tblPL[[#This Row],[revenue]]-tblPL[[#This Row],[cogs]]</f>
        <v>4673.2795999999998</v>
      </c>
      <c r="E13" s="16">
        <f>Assumptions!$B$8+tblPL[[#This Row],[revenue]]*Assumptions!$B$5</f>
        <v>7237.0446000000002</v>
      </c>
      <c r="F13" s="16">
        <f>tblPL[[#This Row],[gross_profit]]-tblPL[[#This Row],[opex]]</f>
        <v>-2563.7650000000003</v>
      </c>
      <c r="G13" s="17">
        <f>Assumptions!$B$9</f>
        <v>1500</v>
      </c>
      <c r="H13" s="17">
        <f>Assumptions!$B$10</f>
        <v>900</v>
      </c>
      <c r="I13" s="16">
        <f>tblPL[[#This Row],[ebitda]]-tblPL[[#This Row],[depreciation]]-tblPL[[#This Row],[interest]]</f>
        <v>-4963.7650000000003</v>
      </c>
      <c r="J13" s="16">
        <f>tblPL[[#This Row],[cash_tax]]+tblPL[[#This Row],[deferred_tax]]</f>
        <v>-1240.9412499999999</v>
      </c>
      <c r="K13" s="16">
        <f>tblPL[[#This Row],[pre_tax_profit]]-tblPL[[#This Row],[tax]]</f>
        <v>-3722.8237500000005</v>
      </c>
      <c r="L13" s="16">
        <f>IF(MONTH(tblPL[[#This Row],[date]])=1,Assumptions!$B$11,Assumptions!$B$12)</f>
        <v>3500</v>
      </c>
      <c r="M13" s="16">
        <f>tblPL[[#This Row],[net_income]]+tblPL[[#This Row],[depreciation]]-tblPL[[#This Row],[capex]]+tblPL[[#This Row],[deferred_tax]]</f>
        <v>-6963.7650000000003</v>
      </c>
      <c r="N13" s="16">
        <f>tblPL[[#This Row],[opening_cash]]+tblPL[[#This Row],[cash_flow]]</f>
        <v>-16662.244999999992</v>
      </c>
      <c r="O13" s="16">
        <f t="shared" si="0"/>
        <v>-9698.4799999999923</v>
      </c>
      <c r="P13" s="16">
        <f>MAX(0,P12-tblPL[[#This Row],[pre_tax_profit]])</f>
        <v>78162.244999999995</v>
      </c>
      <c r="Q13" s="16">
        <f>tblPL[[#This Row],[tax_loss_crfwd]]*Assumptions!$B$6</f>
        <v>19540.561249999999</v>
      </c>
      <c r="R13" s="16">
        <f>MAX(0,tblPL[[#This Row],[pre_tax_profit]]-P12)*Assumptions!$B$6</f>
        <v>0</v>
      </c>
      <c r="S13" s="16">
        <f>Q12-tblPL[[#This Row],[dta]]</f>
        <v>-1240.9412499999999</v>
      </c>
    </row>
    <row r="14" spans="1:19" x14ac:dyDescent="0.35">
      <c r="A14" s="1">
        <v>45292</v>
      </c>
      <c r="B14" s="15">
        <v>8692.1299999999992</v>
      </c>
      <c r="C14" s="16">
        <f>tblPL[[#This Row],[revenue]]*Assumptions!$B$4</f>
        <v>2781.4815999999996</v>
      </c>
      <c r="D14" s="16">
        <f>tblPL[[#This Row],[revenue]]-tblPL[[#This Row],[cogs]]</f>
        <v>5910.6484</v>
      </c>
      <c r="E14" s="16">
        <f>Assumptions!$B$8+tblPL[[#This Row],[revenue]]*Assumptions!$B$5</f>
        <v>7564.5833999999995</v>
      </c>
      <c r="F14" s="16">
        <f>tblPL[[#This Row],[gross_profit]]-tblPL[[#This Row],[opex]]</f>
        <v>-1653.9349999999995</v>
      </c>
      <c r="G14" s="17">
        <f>Assumptions!$B$9</f>
        <v>1500</v>
      </c>
      <c r="H14" s="17">
        <f>Assumptions!$B$10</f>
        <v>900</v>
      </c>
      <c r="I14" s="16">
        <f>tblPL[[#This Row],[ebitda]]-tblPL[[#This Row],[depreciation]]-tblPL[[#This Row],[interest]]</f>
        <v>-4053.9349999999995</v>
      </c>
      <c r="J14" s="16">
        <f>tblPL[[#This Row],[cash_tax]]+tblPL[[#This Row],[deferred_tax]]</f>
        <v>-1013.4837499999994</v>
      </c>
      <c r="K14" s="16">
        <f>tblPL[[#This Row],[pre_tax_profit]]-tblPL[[#This Row],[tax]]</f>
        <v>-3040.4512500000001</v>
      </c>
      <c r="L14" s="16">
        <f>IF(MONTH(tblPL[[#This Row],[date]])=1,Assumptions!$B$11,Assumptions!$B$12)</f>
        <v>18000</v>
      </c>
      <c r="M14" s="16">
        <f>tblPL[[#This Row],[net_income]]+tblPL[[#This Row],[depreciation]]-tblPL[[#This Row],[capex]]+tblPL[[#This Row],[deferred_tax]]</f>
        <v>-20553.934999999998</v>
      </c>
      <c r="N14" s="16">
        <f>tblPL[[#This Row],[opening_cash]]+tblPL[[#This Row],[cash_flow]]</f>
        <v>-37216.179999999993</v>
      </c>
      <c r="O14" s="16">
        <f t="shared" si="0"/>
        <v>-16662.244999999992</v>
      </c>
      <c r="P14" s="16">
        <f>MAX(0,P13-tblPL[[#This Row],[pre_tax_profit]])</f>
        <v>82216.179999999993</v>
      </c>
      <c r="Q14" s="16">
        <f>tblPL[[#This Row],[tax_loss_crfwd]]*Assumptions!$B$6</f>
        <v>20554.044999999998</v>
      </c>
      <c r="R14" s="16">
        <f>MAX(0,tblPL[[#This Row],[pre_tax_profit]]-P13)*Assumptions!$B$6</f>
        <v>0</v>
      </c>
      <c r="S14" s="16">
        <f>Q13-tblPL[[#This Row],[dta]]</f>
        <v>-1013.4837499999994</v>
      </c>
    </row>
    <row r="15" spans="1:19" x14ac:dyDescent="0.35">
      <c r="A15" s="1">
        <v>45323</v>
      </c>
      <c r="B15" s="15">
        <v>13019.62</v>
      </c>
      <c r="C15" s="16">
        <f>tblPL[[#This Row],[revenue]]*Assumptions!$B$4</f>
        <v>4166.2784000000001</v>
      </c>
      <c r="D15" s="16">
        <f>tblPL[[#This Row],[revenue]]-tblPL[[#This Row],[cogs]]</f>
        <v>8853.3415999999997</v>
      </c>
      <c r="E15" s="16">
        <f>Assumptions!$B$8+tblPL[[#This Row],[revenue]]*Assumptions!$B$5</f>
        <v>8343.5316000000003</v>
      </c>
      <c r="F15" s="16">
        <f>tblPL[[#This Row],[gross_profit]]-tblPL[[#This Row],[opex]]</f>
        <v>509.80999999999949</v>
      </c>
      <c r="G15" s="17">
        <f>Assumptions!$B$9</f>
        <v>1500</v>
      </c>
      <c r="H15" s="17">
        <f>Assumptions!$B$10</f>
        <v>900</v>
      </c>
      <c r="I15" s="16">
        <f>tblPL[[#This Row],[ebitda]]-tblPL[[#This Row],[depreciation]]-tblPL[[#This Row],[interest]]</f>
        <v>-1890.1900000000005</v>
      </c>
      <c r="J15" s="16">
        <f>tblPL[[#This Row],[cash_tax]]+tblPL[[#This Row],[deferred_tax]]</f>
        <v>-472.54750000000058</v>
      </c>
      <c r="K15" s="16">
        <f>tblPL[[#This Row],[pre_tax_profit]]-tblPL[[#This Row],[tax]]</f>
        <v>-1417.6424999999999</v>
      </c>
      <c r="L15" s="16">
        <f>IF(MONTH(tblPL[[#This Row],[date]])=1,Assumptions!$B$11,Assumptions!$B$12)</f>
        <v>3500</v>
      </c>
      <c r="M15" s="16">
        <f>tblPL[[#This Row],[net_income]]+tblPL[[#This Row],[depreciation]]-tblPL[[#This Row],[capex]]+tblPL[[#This Row],[deferred_tax]]</f>
        <v>-3890.1900000000005</v>
      </c>
      <c r="N15" s="16">
        <f>tblPL[[#This Row],[opening_cash]]+tblPL[[#This Row],[cash_flow]]</f>
        <v>-41106.369999999995</v>
      </c>
      <c r="O15" s="16">
        <f t="shared" si="0"/>
        <v>-37216.179999999993</v>
      </c>
      <c r="P15" s="16">
        <f>MAX(0,P14-tblPL[[#This Row],[pre_tax_profit]])</f>
        <v>84106.37</v>
      </c>
      <c r="Q15" s="16">
        <f>tblPL[[#This Row],[tax_loss_crfwd]]*Assumptions!$B$6</f>
        <v>21026.592499999999</v>
      </c>
      <c r="R15" s="16">
        <f>MAX(0,tblPL[[#This Row],[pre_tax_profit]]-P14)*Assumptions!$B$6</f>
        <v>0</v>
      </c>
      <c r="S15" s="16">
        <f>Q14-tblPL[[#This Row],[dta]]</f>
        <v>-472.54750000000058</v>
      </c>
    </row>
    <row r="16" spans="1:19" x14ac:dyDescent="0.35">
      <c r="A16" s="1">
        <v>45352</v>
      </c>
      <c r="B16" s="15">
        <v>6459.86</v>
      </c>
      <c r="C16" s="16">
        <f>tblPL[[#This Row],[revenue]]*Assumptions!$B$4</f>
        <v>2067.1552000000001</v>
      </c>
      <c r="D16" s="16">
        <f>tblPL[[#This Row],[revenue]]-tblPL[[#This Row],[cogs]]</f>
        <v>4392.7047999999995</v>
      </c>
      <c r="E16" s="16">
        <f>Assumptions!$B$8+tblPL[[#This Row],[revenue]]*Assumptions!$B$5</f>
        <v>7162.7748000000001</v>
      </c>
      <c r="F16" s="16">
        <f>tblPL[[#This Row],[gross_profit]]-tblPL[[#This Row],[opex]]</f>
        <v>-2770.0700000000006</v>
      </c>
      <c r="G16" s="17">
        <f>Assumptions!$B$9</f>
        <v>1500</v>
      </c>
      <c r="H16" s="17">
        <f>Assumptions!$B$10</f>
        <v>900</v>
      </c>
      <c r="I16" s="16">
        <f>tblPL[[#This Row],[ebitda]]-tblPL[[#This Row],[depreciation]]-tblPL[[#This Row],[interest]]</f>
        <v>-5170.0700000000006</v>
      </c>
      <c r="J16" s="16">
        <f>tblPL[[#This Row],[cash_tax]]+tblPL[[#This Row],[deferred_tax]]</f>
        <v>-1292.5175000000017</v>
      </c>
      <c r="K16" s="16">
        <f>tblPL[[#This Row],[pre_tax_profit]]-tblPL[[#This Row],[tax]]</f>
        <v>-3877.5524999999989</v>
      </c>
      <c r="L16" s="16">
        <f>IF(MONTH(tblPL[[#This Row],[date]])=1,Assumptions!$B$11,Assumptions!$B$12)</f>
        <v>3500</v>
      </c>
      <c r="M16" s="16">
        <f>tblPL[[#This Row],[net_income]]+tblPL[[#This Row],[depreciation]]-tblPL[[#This Row],[capex]]+tblPL[[#This Row],[deferred_tax]]</f>
        <v>-7170.0700000000006</v>
      </c>
      <c r="N16" s="16">
        <f>tblPL[[#This Row],[opening_cash]]+tblPL[[#This Row],[cash_flow]]</f>
        <v>-48276.439999999995</v>
      </c>
      <c r="O16" s="16">
        <f t="shared" si="0"/>
        <v>-41106.369999999995</v>
      </c>
      <c r="P16" s="16">
        <f>MAX(0,P15-tblPL[[#This Row],[pre_tax_profit]])</f>
        <v>89276.44</v>
      </c>
      <c r="Q16" s="16">
        <f>tblPL[[#This Row],[tax_loss_crfwd]]*Assumptions!$B$6</f>
        <v>22319.11</v>
      </c>
      <c r="R16" s="16">
        <f>MAX(0,tblPL[[#This Row],[pre_tax_profit]]-P15)*Assumptions!$B$6</f>
        <v>0</v>
      </c>
      <c r="S16" s="16">
        <f>Q15-tblPL[[#This Row],[dta]]</f>
        <v>-1292.5175000000017</v>
      </c>
    </row>
    <row r="17" spans="1:19" x14ac:dyDescent="0.35">
      <c r="A17" s="1">
        <v>45383</v>
      </c>
      <c r="B17" s="15">
        <v>10691.61</v>
      </c>
      <c r="C17" s="16">
        <f>tblPL[[#This Row],[revenue]]*Assumptions!$B$4</f>
        <v>3421.3152000000005</v>
      </c>
      <c r="D17" s="16">
        <f>tblPL[[#This Row],[revenue]]-tblPL[[#This Row],[cogs]]</f>
        <v>7270.2947999999997</v>
      </c>
      <c r="E17" s="16">
        <f>Assumptions!$B$8+tblPL[[#This Row],[revenue]]*Assumptions!$B$5</f>
        <v>7924.4898000000003</v>
      </c>
      <c r="F17" s="16">
        <f>tblPL[[#This Row],[gross_profit]]-tblPL[[#This Row],[opex]]</f>
        <v>-654.19500000000062</v>
      </c>
      <c r="G17" s="17">
        <f>Assumptions!$B$9</f>
        <v>1500</v>
      </c>
      <c r="H17" s="17">
        <f>Assumptions!$B$10</f>
        <v>900</v>
      </c>
      <c r="I17" s="16">
        <f>tblPL[[#This Row],[ebitda]]-tblPL[[#This Row],[depreciation]]-tblPL[[#This Row],[interest]]</f>
        <v>-3054.1950000000006</v>
      </c>
      <c r="J17" s="16">
        <f>tblPL[[#This Row],[cash_tax]]+tblPL[[#This Row],[deferred_tax]]</f>
        <v>-763.54875000000175</v>
      </c>
      <c r="K17" s="16">
        <f>tblPL[[#This Row],[pre_tax_profit]]-tblPL[[#This Row],[tax]]</f>
        <v>-2290.6462499999989</v>
      </c>
      <c r="L17" s="16">
        <f>IF(MONTH(tblPL[[#This Row],[date]])=1,Assumptions!$B$11,Assumptions!$B$12)</f>
        <v>3500</v>
      </c>
      <c r="M17" s="16">
        <f>tblPL[[#This Row],[net_income]]+tblPL[[#This Row],[depreciation]]-tblPL[[#This Row],[capex]]+tblPL[[#This Row],[deferred_tax]]</f>
        <v>-5054.1950000000006</v>
      </c>
      <c r="N17" s="16">
        <f>tblPL[[#This Row],[opening_cash]]+tblPL[[#This Row],[cash_flow]]</f>
        <v>-53330.634999999995</v>
      </c>
      <c r="O17" s="16">
        <f t="shared" si="0"/>
        <v>-48276.439999999995</v>
      </c>
      <c r="P17" s="16">
        <f>MAX(0,P16-tblPL[[#This Row],[pre_tax_profit]])</f>
        <v>92330.635000000009</v>
      </c>
      <c r="Q17" s="16">
        <f>tblPL[[#This Row],[tax_loss_crfwd]]*Assumptions!$B$6</f>
        <v>23082.658750000002</v>
      </c>
      <c r="R17" s="16">
        <f>MAX(0,tblPL[[#This Row],[pre_tax_profit]]-P16)*Assumptions!$B$6</f>
        <v>0</v>
      </c>
      <c r="S17" s="16">
        <f>Q16-tblPL[[#This Row],[dta]]</f>
        <v>-763.54875000000175</v>
      </c>
    </row>
    <row r="18" spans="1:19" x14ac:dyDescent="0.35">
      <c r="A18" s="1">
        <v>45413</v>
      </c>
      <c r="B18" s="15">
        <v>10648.63</v>
      </c>
      <c r="C18" s="16">
        <f>tblPL[[#This Row],[revenue]]*Assumptions!$B$4</f>
        <v>3407.5616</v>
      </c>
      <c r="D18" s="16">
        <f>tblPL[[#This Row],[revenue]]-tblPL[[#This Row],[cogs]]</f>
        <v>7241.0683999999992</v>
      </c>
      <c r="E18" s="16">
        <f>Assumptions!$B$8+tblPL[[#This Row],[revenue]]*Assumptions!$B$5</f>
        <v>7916.7533999999996</v>
      </c>
      <c r="F18" s="16">
        <f>tblPL[[#This Row],[gross_profit]]-tblPL[[#This Row],[opex]]</f>
        <v>-675.6850000000004</v>
      </c>
      <c r="G18" s="17">
        <f>Assumptions!$B$9</f>
        <v>1500</v>
      </c>
      <c r="H18" s="17">
        <f>Assumptions!$B$10</f>
        <v>900</v>
      </c>
      <c r="I18" s="16">
        <f>tblPL[[#This Row],[ebitda]]-tblPL[[#This Row],[depreciation]]-tblPL[[#This Row],[interest]]</f>
        <v>-3075.6850000000004</v>
      </c>
      <c r="J18" s="16">
        <f>tblPL[[#This Row],[cash_tax]]+tblPL[[#This Row],[deferred_tax]]</f>
        <v>-768.92124999999942</v>
      </c>
      <c r="K18" s="16">
        <f>tblPL[[#This Row],[pre_tax_profit]]-tblPL[[#This Row],[tax]]</f>
        <v>-2306.763750000001</v>
      </c>
      <c r="L18" s="16">
        <f>IF(MONTH(tblPL[[#This Row],[date]])=1,Assumptions!$B$11,Assumptions!$B$12)</f>
        <v>3500</v>
      </c>
      <c r="M18" s="16">
        <f>tblPL[[#This Row],[net_income]]+tblPL[[#This Row],[depreciation]]-tblPL[[#This Row],[capex]]+tblPL[[#This Row],[deferred_tax]]</f>
        <v>-5075.6850000000004</v>
      </c>
      <c r="N18" s="16">
        <f>tblPL[[#This Row],[opening_cash]]+tblPL[[#This Row],[cash_flow]]</f>
        <v>-58406.319999999992</v>
      </c>
      <c r="O18" s="16">
        <f t="shared" si="0"/>
        <v>-53330.634999999995</v>
      </c>
      <c r="P18" s="16">
        <f>MAX(0,P17-tblPL[[#This Row],[pre_tax_profit]])</f>
        <v>95406.32</v>
      </c>
      <c r="Q18" s="16">
        <f>tblPL[[#This Row],[tax_loss_crfwd]]*Assumptions!$B$6</f>
        <v>23851.58</v>
      </c>
      <c r="R18" s="16">
        <f>MAX(0,tblPL[[#This Row],[pre_tax_profit]]-P17)*Assumptions!$B$6</f>
        <v>0</v>
      </c>
      <c r="S18" s="16">
        <f>Q17-tblPL[[#This Row],[dta]]</f>
        <v>-768.92124999999942</v>
      </c>
    </row>
    <row r="19" spans="1:19" x14ac:dyDescent="0.35">
      <c r="A19" s="1">
        <v>45444</v>
      </c>
      <c r="B19" s="15">
        <v>9504.92</v>
      </c>
      <c r="C19" s="16">
        <f>tblPL[[#This Row],[revenue]]*Assumptions!$B$4</f>
        <v>3041.5744</v>
      </c>
      <c r="D19" s="16">
        <f>tblPL[[#This Row],[revenue]]-tblPL[[#This Row],[cogs]]</f>
        <v>6463.3456000000006</v>
      </c>
      <c r="E19" s="16">
        <f>Assumptions!$B$8+tblPL[[#This Row],[revenue]]*Assumptions!$B$5</f>
        <v>7710.8855999999996</v>
      </c>
      <c r="F19" s="16">
        <f>tblPL[[#This Row],[gross_profit]]-tblPL[[#This Row],[opex]]</f>
        <v>-1247.5399999999991</v>
      </c>
      <c r="G19" s="17">
        <f>Assumptions!$B$9</f>
        <v>1500</v>
      </c>
      <c r="H19" s="17">
        <f>Assumptions!$B$10</f>
        <v>900</v>
      </c>
      <c r="I19" s="16">
        <f>tblPL[[#This Row],[ebitda]]-tblPL[[#This Row],[depreciation]]-tblPL[[#This Row],[interest]]</f>
        <v>-3647.5399999999991</v>
      </c>
      <c r="J19" s="16">
        <f>tblPL[[#This Row],[cash_tax]]+tblPL[[#This Row],[deferred_tax]]</f>
        <v>-911.8849999999984</v>
      </c>
      <c r="K19" s="16">
        <f>tblPL[[#This Row],[pre_tax_profit]]-tblPL[[#This Row],[tax]]</f>
        <v>-2735.6550000000007</v>
      </c>
      <c r="L19" s="16">
        <f>IF(MONTH(tblPL[[#This Row],[date]])=1,Assumptions!$B$11,Assumptions!$B$12)</f>
        <v>3500</v>
      </c>
      <c r="M19" s="16">
        <f>tblPL[[#This Row],[net_income]]+tblPL[[#This Row],[depreciation]]-tblPL[[#This Row],[capex]]+tblPL[[#This Row],[deferred_tax]]</f>
        <v>-5647.5399999999991</v>
      </c>
      <c r="N19" s="16">
        <f>tblPL[[#This Row],[opening_cash]]+tblPL[[#This Row],[cash_flow]]</f>
        <v>-64053.859999999993</v>
      </c>
      <c r="O19" s="16">
        <f t="shared" si="0"/>
        <v>-58406.319999999992</v>
      </c>
      <c r="P19" s="16">
        <f>MAX(0,P18-tblPL[[#This Row],[pre_tax_profit]])</f>
        <v>99053.86</v>
      </c>
      <c r="Q19" s="16">
        <f>tblPL[[#This Row],[tax_loss_crfwd]]*Assumptions!$B$6</f>
        <v>24763.465</v>
      </c>
      <c r="R19" s="16">
        <f>MAX(0,tblPL[[#This Row],[pre_tax_profit]]-P18)*Assumptions!$B$6</f>
        <v>0</v>
      </c>
      <c r="S19" s="16">
        <f>Q18-tblPL[[#This Row],[dta]]</f>
        <v>-911.8849999999984</v>
      </c>
    </row>
    <row r="20" spans="1:19" x14ac:dyDescent="0.35">
      <c r="A20" s="1">
        <v>45474</v>
      </c>
      <c r="B20" s="15">
        <v>8923.92</v>
      </c>
      <c r="C20" s="16">
        <f>tblPL[[#This Row],[revenue]]*Assumptions!$B$4</f>
        <v>2855.6543999999999</v>
      </c>
      <c r="D20" s="16">
        <f>tblPL[[#This Row],[revenue]]-tblPL[[#This Row],[cogs]]</f>
        <v>6068.2656000000006</v>
      </c>
      <c r="E20" s="16">
        <f>Assumptions!$B$8+tblPL[[#This Row],[revenue]]*Assumptions!$B$5</f>
        <v>7606.3055999999997</v>
      </c>
      <c r="F20" s="16">
        <f>tblPL[[#This Row],[gross_profit]]-tblPL[[#This Row],[opex]]</f>
        <v>-1538.0399999999991</v>
      </c>
      <c r="G20" s="17">
        <f>Assumptions!$B$9</f>
        <v>1500</v>
      </c>
      <c r="H20" s="17">
        <f>Assumptions!$B$10</f>
        <v>900</v>
      </c>
      <c r="I20" s="16">
        <f>tblPL[[#This Row],[ebitda]]-tblPL[[#This Row],[depreciation]]-tblPL[[#This Row],[interest]]</f>
        <v>-3938.0399999999991</v>
      </c>
      <c r="J20" s="16">
        <f>tblPL[[#This Row],[cash_tax]]+tblPL[[#This Row],[deferred_tax]]</f>
        <v>-984.5099999999984</v>
      </c>
      <c r="K20" s="16">
        <f>tblPL[[#This Row],[pre_tax_profit]]-tblPL[[#This Row],[tax]]</f>
        <v>-2953.5300000000007</v>
      </c>
      <c r="L20" s="16">
        <f>IF(MONTH(tblPL[[#This Row],[date]])=1,Assumptions!$B$11,Assumptions!$B$12)</f>
        <v>3500</v>
      </c>
      <c r="M20" s="16">
        <f>tblPL[[#This Row],[net_income]]+tblPL[[#This Row],[depreciation]]-tblPL[[#This Row],[capex]]+tblPL[[#This Row],[deferred_tax]]</f>
        <v>-5938.0399999999991</v>
      </c>
      <c r="N20" s="16">
        <f>tblPL[[#This Row],[opening_cash]]+tblPL[[#This Row],[cash_flow]]</f>
        <v>-69991.899999999994</v>
      </c>
      <c r="O20" s="16">
        <f t="shared" si="0"/>
        <v>-64053.859999999993</v>
      </c>
      <c r="P20" s="16">
        <f>MAX(0,P19-tblPL[[#This Row],[pre_tax_profit]])</f>
        <v>102991.9</v>
      </c>
      <c r="Q20" s="16">
        <f>tblPL[[#This Row],[tax_loss_crfwd]]*Assumptions!$B$6</f>
        <v>25747.974999999999</v>
      </c>
      <c r="R20" s="16">
        <f>MAX(0,tblPL[[#This Row],[pre_tax_profit]]-P19)*Assumptions!$B$6</f>
        <v>0</v>
      </c>
      <c r="S20" s="16">
        <f>Q19-tblPL[[#This Row],[dta]]</f>
        <v>-984.5099999999984</v>
      </c>
    </row>
    <row r="21" spans="1:19" x14ac:dyDescent="0.35">
      <c r="A21" s="1">
        <v>45505</v>
      </c>
      <c r="B21" s="15">
        <v>11394.1</v>
      </c>
      <c r="C21" s="16">
        <f>tblPL[[#This Row],[revenue]]*Assumptions!$B$4</f>
        <v>3646.1120000000001</v>
      </c>
      <c r="D21" s="16">
        <f>tblPL[[#This Row],[revenue]]-tblPL[[#This Row],[cogs]]</f>
        <v>7747.9880000000003</v>
      </c>
      <c r="E21" s="16">
        <f>Assumptions!$B$8+tblPL[[#This Row],[revenue]]*Assumptions!$B$5</f>
        <v>8050.9380000000001</v>
      </c>
      <c r="F21" s="16">
        <f>tblPL[[#This Row],[gross_profit]]-tblPL[[#This Row],[opex]]</f>
        <v>-302.94999999999982</v>
      </c>
      <c r="G21" s="17">
        <f>Assumptions!$B$9</f>
        <v>1500</v>
      </c>
      <c r="H21" s="17">
        <f>Assumptions!$B$10</f>
        <v>900</v>
      </c>
      <c r="I21" s="16">
        <f>tblPL[[#This Row],[ebitda]]-tblPL[[#This Row],[depreciation]]-tblPL[[#This Row],[interest]]</f>
        <v>-2702.95</v>
      </c>
      <c r="J21" s="16">
        <f>tblPL[[#This Row],[cash_tax]]+tblPL[[#This Row],[deferred_tax]]</f>
        <v>-675.73749999999927</v>
      </c>
      <c r="K21" s="16">
        <f>tblPL[[#This Row],[pre_tax_profit]]-tblPL[[#This Row],[tax]]</f>
        <v>-2027.2125000000005</v>
      </c>
      <c r="L21" s="16">
        <f>IF(MONTH(tblPL[[#This Row],[date]])=1,Assumptions!$B$11,Assumptions!$B$12)</f>
        <v>3500</v>
      </c>
      <c r="M21" s="16">
        <f>tblPL[[#This Row],[net_income]]+tblPL[[#This Row],[depreciation]]-tblPL[[#This Row],[capex]]+tblPL[[#This Row],[deferred_tax]]</f>
        <v>-4702.95</v>
      </c>
      <c r="N21" s="16">
        <f>tblPL[[#This Row],[opening_cash]]+tblPL[[#This Row],[cash_flow]]</f>
        <v>-74694.849999999991</v>
      </c>
      <c r="O21" s="16">
        <f t="shared" si="0"/>
        <v>-69991.899999999994</v>
      </c>
      <c r="P21" s="16">
        <f>MAX(0,P20-tblPL[[#This Row],[pre_tax_profit]])</f>
        <v>105694.84999999999</v>
      </c>
      <c r="Q21" s="16">
        <f>tblPL[[#This Row],[tax_loss_crfwd]]*Assumptions!$B$6</f>
        <v>26423.712499999998</v>
      </c>
      <c r="R21" s="16">
        <f>MAX(0,tblPL[[#This Row],[pre_tax_profit]]-P20)*Assumptions!$B$6</f>
        <v>0</v>
      </c>
      <c r="S21" s="16">
        <f>Q20-tblPL[[#This Row],[dta]]</f>
        <v>-675.73749999999927</v>
      </c>
    </row>
    <row r="22" spans="1:19" x14ac:dyDescent="0.35">
      <c r="A22" s="1">
        <v>45536</v>
      </c>
      <c r="B22" s="15">
        <v>13150.51</v>
      </c>
      <c r="C22" s="16">
        <f>tblPL[[#This Row],[revenue]]*Assumptions!$B$4</f>
        <v>4208.1632</v>
      </c>
      <c r="D22" s="16">
        <f>tblPL[[#This Row],[revenue]]-tblPL[[#This Row],[cogs]]</f>
        <v>8942.3467999999993</v>
      </c>
      <c r="E22" s="16">
        <f>Assumptions!$B$8+tblPL[[#This Row],[revenue]]*Assumptions!$B$5</f>
        <v>8367.0918000000001</v>
      </c>
      <c r="F22" s="16">
        <f>tblPL[[#This Row],[gross_profit]]-tblPL[[#This Row],[opex]]</f>
        <v>575.2549999999992</v>
      </c>
      <c r="G22" s="17">
        <f>Assumptions!$B$9</f>
        <v>1500</v>
      </c>
      <c r="H22" s="17">
        <f>Assumptions!$B$10</f>
        <v>900</v>
      </c>
      <c r="I22" s="16">
        <f>tblPL[[#This Row],[ebitda]]-tblPL[[#This Row],[depreciation]]-tblPL[[#This Row],[interest]]</f>
        <v>-1824.7450000000008</v>
      </c>
      <c r="J22" s="16">
        <f>tblPL[[#This Row],[cash_tax]]+tblPL[[#This Row],[deferred_tax]]</f>
        <v>-456.18624999999884</v>
      </c>
      <c r="K22" s="16">
        <f>tblPL[[#This Row],[pre_tax_profit]]-tblPL[[#This Row],[tax]]</f>
        <v>-1368.558750000002</v>
      </c>
      <c r="L22" s="16">
        <f>IF(MONTH(tblPL[[#This Row],[date]])=1,Assumptions!$B$11,Assumptions!$B$12)</f>
        <v>3500</v>
      </c>
      <c r="M22" s="16">
        <f>tblPL[[#This Row],[net_income]]+tblPL[[#This Row],[depreciation]]-tblPL[[#This Row],[capex]]+tblPL[[#This Row],[deferred_tax]]</f>
        <v>-3824.7450000000008</v>
      </c>
      <c r="N22" s="16">
        <f>tblPL[[#This Row],[opening_cash]]+tblPL[[#This Row],[cash_flow]]</f>
        <v>-78519.594999999987</v>
      </c>
      <c r="O22" s="16">
        <f t="shared" si="0"/>
        <v>-74694.849999999991</v>
      </c>
      <c r="P22" s="16">
        <f>MAX(0,P21-tblPL[[#This Row],[pre_tax_profit]])</f>
        <v>107519.59499999999</v>
      </c>
      <c r="Q22" s="16">
        <f>tblPL[[#This Row],[tax_loss_crfwd]]*Assumptions!$B$6</f>
        <v>26879.898749999997</v>
      </c>
      <c r="R22" s="16">
        <f>MAX(0,tblPL[[#This Row],[pre_tax_profit]]-P21)*Assumptions!$B$6</f>
        <v>0</v>
      </c>
      <c r="S22" s="16">
        <f>Q21-tblPL[[#This Row],[dta]]</f>
        <v>-456.18624999999884</v>
      </c>
    </row>
    <row r="23" spans="1:19" x14ac:dyDescent="0.35">
      <c r="A23" s="1">
        <v>45566</v>
      </c>
      <c r="B23" s="15">
        <v>13579.32</v>
      </c>
      <c r="C23" s="16">
        <f>tblPL[[#This Row],[revenue]]*Assumptions!$B$4</f>
        <v>4345.3824000000004</v>
      </c>
      <c r="D23" s="16">
        <f>tblPL[[#This Row],[revenue]]-tblPL[[#This Row],[cogs]]</f>
        <v>9233.9375999999993</v>
      </c>
      <c r="E23" s="16">
        <f>Assumptions!$B$8+tblPL[[#This Row],[revenue]]*Assumptions!$B$5</f>
        <v>8444.2775999999994</v>
      </c>
      <c r="F23" s="16">
        <f>tblPL[[#This Row],[gross_profit]]-tblPL[[#This Row],[opex]]</f>
        <v>789.65999999999985</v>
      </c>
      <c r="G23" s="17">
        <f>Assumptions!$B$9</f>
        <v>1500</v>
      </c>
      <c r="H23" s="17">
        <f>Assumptions!$B$10</f>
        <v>900</v>
      </c>
      <c r="I23" s="16">
        <f>tblPL[[#This Row],[ebitda]]-tblPL[[#This Row],[depreciation]]-tblPL[[#This Row],[interest]]</f>
        <v>-1610.3400000000001</v>
      </c>
      <c r="J23" s="16">
        <f>tblPL[[#This Row],[cash_tax]]+tblPL[[#This Row],[deferred_tax]]</f>
        <v>-402.58499999999913</v>
      </c>
      <c r="K23" s="16">
        <f>tblPL[[#This Row],[pre_tax_profit]]-tblPL[[#This Row],[tax]]</f>
        <v>-1207.755000000001</v>
      </c>
      <c r="L23" s="16">
        <f>IF(MONTH(tblPL[[#This Row],[date]])=1,Assumptions!$B$11,Assumptions!$B$12)</f>
        <v>3500</v>
      </c>
      <c r="M23" s="16">
        <f>tblPL[[#This Row],[net_income]]+tblPL[[#This Row],[depreciation]]-tblPL[[#This Row],[capex]]+tblPL[[#This Row],[deferred_tax]]</f>
        <v>-3610.34</v>
      </c>
      <c r="N23" s="16">
        <f>tblPL[[#This Row],[opening_cash]]+tblPL[[#This Row],[cash_flow]]</f>
        <v>-82129.934999999983</v>
      </c>
      <c r="O23" s="16">
        <f t="shared" si="0"/>
        <v>-78519.594999999987</v>
      </c>
      <c r="P23" s="16">
        <f>MAX(0,P22-tblPL[[#This Row],[pre_tax_profit]])</f>
        <v>109129.93499999998</v>
      </c>
      <c r="Q23" s="16">
        <f>tblPL[[#This Row],[tax_loss_crfwd]]*Assumptions!$B$6</f>
        <v>27282.483749999996</v>
      </c>
      <c r="R23" s="16">
        <f>MAX(0,tblPL[[#This Row],[pre_tax_profit]]-P22)*Assumptions!$B$6</f>
        <v>0</v>
      </c>
      <c r="S23" s="16">
        <f>Q22-tblPL[[#This Row],[dta]]</f>
        <v>-402.58499999999913</v>
      </c>
    </row>
    <row r="24" spans="1:19" x14ac:dyDescent="0.35">
      <c r="A24" s="1">
        <v>45597</v>
      </c>
      <c r="B24" s="15">
        <v>16473.5</v>
      </c>
      <c r="C24" s="16">
        <f>tblPL[[#This Row],[revenue]]*Assumptions!$B$4</f>
        <v>5271.52</v>
      </c>
      <c r="D24" s="16">
        <f>tblPL[[#This Row],[revenue]]-tblPL[[#This Row],[cogs]]</f>
        <v>11201.98</v>
      </c>
      <c r="E24" s="16">
        <f>Assumptions!$B$8+tblPL[[#This Row],[revenue]]*Assumptions!$B$5</f>
        <v>8965.23</v>
      </c>
      <c r="F24" s="16">
        <f>tblPL[[#This Row],[gross_profit]]-tblPL[[#This Row],[opex]]</f>
        <v>2236.75</v>
      </c>
      <c r="G24" s="17">
        <f>Assumptions!$B$9</f>
        <v>1500</v>
      </c>
      <c r="H24" s="17">
        <f>Assumptions!$B$10</f>
        <v>900</v>
      </c>
      <c r="I24" s="16">
        <f>tblPL[[#This Row],[ebitda]]-tblPL[[#This Row],[depreciation]]-tblPL[[#This Row],[interest]]</f>
        <v>-163.25</v>
      </c>
      <c r="J24" s="16">
        <f>tblPL[[#This Row],[cash_tax]]+tblPL[[#This Row],[deferred_tax]]</f>
        <v>-40.8125</v>
      </c>
      <c r="K24" s="16">
        <f>tblPL[[#This Row],[pre_tax_profit]]-tblPL[[#This Row],[tax]]</f>
        <v>-122.4375</v>
      </c>
      <c r="L24" s="16">
        <f>IF(MONTH(tblPL[[#This Row],[date]])=1,Assumptions!$B$11,Assumptions!$B$12)</f>
        <v>3500</v>
      </c>
      <c r="M24" s="16">
        <f>tblPL[[#This Row],[net_income]]+tblPL[[#This Row],[depreciation]]-tblPL[[#This Row],[capex]]+tblPL[[#This Row],[deferred_tax]]</f>
        <v>-2163.25</v>
      </c>
      <c r="N24" s="16">
        <f>tblPL[[#This Row],[opening_cash]]+tblPL[[#This Row],[cash_flow]]</f>
        <v>-84293.184999999983</v>
      </c>
      <c r="O24" s="16">
        <f t="shared" si="0"/>
        <v>-82129.934999999983</v>
      </c>
      <c r="P24" s="16">
        <f>MAX(0,P23-tblPL[[#This Row],[pre_tax_profit]])</f>
        <v>109293.18499999998</v>
      </c>
      <c r="Q24" s="16">
        <f>tblPL[[#This Row],[tax_loss_crfwd]]*Assumptions!$B$6</f>
        <v>27323.296249999996</v>
      </c>
      <c r="R24" s="16">
        <f>MAX(0,tblPL[[#This Row],[pre_tax_profit]]-P23)*Assumptions!$B$6</f>
        <v>0</v>
      </c>
      <c r="S24" s="16">
        <f>Q23-tblPL[[#This Row],[dta]]</f>
        <v>-40.8125</v>
      </c>
    </row>
    <row r="25" spans="1:19" x14ac:dyDescent="0.35">
      <c r="A25" s="1">
        <v>45627</v>
      </c>
      <c r="B25" s="15">
        <v>16466.82</v>
      </c>
      <c r="C25" s="16">
        <f>tblPL[[#This Row],[revenue]]*Assumptions!$B$4</f>
        <v>5269.3824000000004</v>
      </c>
      <c r="D25" s="16">
        <f>tblPL[[#This Row],[revenue]]-tblPL[[#This Row],[cogs]]</f>
        <v>11197.437599999999</v>
      </c>
      <c r="E25" s="16">
        <f>Assumptions!$B$8+tblPL[[#This Row],[revenue]]*Assumptions!$B$5</f>
        <v>8964.0275999999994</v>
      </c>
      <c r="F25" s="16">
        <f>tblPL[[#This Row],[gross_profit]]-tblPL[[#This Row],[opex]]</f>
        <v>2233.41</v>
      </c>
      <c r="G25" s="17">
        <f>Assumptions!$B$9</f>
        <v>1500</v>
      </c>
      <c r="H25" s="17">
        <f>Assumptions!$B$10</f>
        <v>900</v>
      </c>
      <c r="I25" s="16">
        <f>tblPL[[#This Row],[ebitda]]-tblPL[[#This Row],[depreciation]]-tblPL[[#This Row],[interest]]</f>
        <v>-166.59000000000015</v>
      </c>
      <c r="J25" s="16">
        <f>tblPL[[#This Row],[cash_tax]]+tblPL[[#This Row],[deferred_tax]]</f>
        <v>-41.647499999999127</v>
      </c>
      <c r="K25" s="16">
        <f>tblPL[[#This Row],[pre_tax_profit]]-tblPL[[#This Row],[tax]]</f>
        <v>-124.94250000000102</v>
      </c>
      <c r="L25" s="16">
        <f>IF(MONTH(tblPL[[#This Row],[date]])=1,Assumptions!$B$11,Assumptions!$B$12)</f>
        <v>3500</v>
      </c>
      <c r="M25" s="16">
        <f>tblPL[[#This Row],[net_income]]+tblPL[[#This Row],[depreciation]]-tblPL[[#This Row],[capex]]+tblPL[[#This Row],[deferred_tax]]</f>
        <v>-2166.59</v>
      </c>
      <c r="N25" s="16">
        <f>tblPL[[#This Row],[opening_cash]]+tblPL[[#This Row],[cash_flow]]</f>
        <v>-86459.77499999998</v>
      </c>
      <c r="O25" s="16">
        <f t="shared" si="0"/>
        <v>-84293.184999999983</v>
      </c>
      <c r="P25" s="16">
        <f>MAX(0,P24-tblPL[[#This Row],[pre_tax_profit]])</f>
        <v>109459.77499999998</v>
      </c>
      <c r="Q25" s="16">
        <f>tblPL[[#This Row],[tax_loss_crfwd]]*Assumptions!$B$6</f>
        <v>27364.943749999995</v>
      </c>
      <c r="R25" s="16">
        <f>MAX(0,tblPL[[#This Row],[pre_tax_profit]]-P24)*Assumptions!$B$6</f>
        <v>0</v>
      </c>
      <c r="S25" s="16">
        <f>Q24-tblPL[[#This Row],[dta]]</f>
        <v>-41.647499999999127</v>
      </c>
    </row>
    <row r="26" spans="1:19" x14ac:dyDescent="0.35">
      <c r="A26" s="1">
        <v>45658</v>
      </c>
      <c r="B26" s="15">
        <v>15152.88</v>
      </c>
      <c r="C26" s="16">
        <f>tblPL[[#This Row],[revenue]]*Assumptions!$B$4</f>
        <v>4848.9215999999997</v>
      </c>
      <c r="D26" s="16">
        <f>tblPL[[#This Row],[revenue]]-tblPL[[#This Row],[cogs]]</f>
        <v>10303.9584</v>
      </c>
      <c r="E26" s="16">
        <f>Assumptions!$B$8+tblPL[[#This Row],[revenue]]*Assumptions!$B$5</f>
        <v>8727.5184000000008</v>
      </c>
      <c r="F26" s="16">
        <f>tblPL[[#This Row],[gross_profit]]-tblPL[[#This Row],[opex]]</f>
        <v>1576.4399999999987</v>
      </c>
      <c r="G26" s="17">
        <f>Assumptions!$B$9</f>
        <v>1500</v>
      </c>
      <c r="H26" s="17">
        <f>Assumptions!$B$10</f>
        <v>900</v>
      </c>
      <c r="I26" s="16">
        <f>tblPL[[#This Row],[ebitda]]-tblPL[[#This Row],[depreciation]]-tblPL[[#This Row],[interest]]</f>
        <v>-823.56000000000131</v>
      </c>
      <c r="J26" s="16">
        <f>tblPL[[#This Row],[cash_tax]]+tblPL[[#This Row],[deferred_tax]]</f>
        <v>-205.88999999999942</v>
      </c>
      <c r="K26" s="16">
        <f>tblPL[[#This Row],[pre_tax_profit]]-tblPL[[#This Row],[tax]]</f>
        <v>-617.67000000000189</v>
      </c>
      <c r="L26" s="16">
        <f>IF(MONTH(tblPL[[#This Row],[date]])=1,Assumptions!$B$11,Assumptions!$B$12)</f>
        <v>18000</v>
      </c>
      <c r="M26" s="16">
        <f>tblPL[[#This Row],[net_income]]+tblPL[[#This Row],[depreciation]]-tblPL[[#This Row],[capex]]+tblPL[[#This Row],[deferred_tax]]</f>
        <v>-17323.560000000001</v>
      </c>
      <c r="N26" s="16">
        <f>tblPL[[#This Row],[opening_cash]]+tblPL[[#This Row],[cash_flow]]</f>
        <v>-103783.33499999998</v>
      </c>
      <c r="O26" s="16">
        <f t="shared" si="0"/>
        <v>-86459.77499999998</v>
      </c>
      <c r="P26" s="16">
        <f>MAX(0,P25-tblPL[[#This Row],[pre_tax_profit]])</f>
        <v>110283.33499999998</v>
      </c>
      <c r="Q26" s="16">
        <f>tblPL[[#This Row],[tax_loss_crfwd]]*Assumptions!$B$6</f>
        <v>27570.833749999994</v>
      </c>
      <c r="R26" s="16">
        <f>MAX(0,tblPL[[#This Row],[pre_tax_profit]]-P25)*Assumptions!$B$6</f>
        <v>0</v>
      </c>
      <c r="S26" s="16">
        <f>Q25-tblPL[[#This Row],[dta]]</f>
        <v>-205.88999999999942</v>
      </c>
    </row>
    <row r="27" spans="1:19" x14ac:dyDescent="0.35">
      <c r="A27" s="1">
        <v>45689</v>
      </c>
      <c r="B27" s="15">
        <v>15347.55</v>
      </c>
      <c r="C27" s="16">
        <f>tblPL[[#This Row],[revenue]]*Assumptions!$B$4</f>
        <v>4911.2159999999994</v>
      </c>
      <c r="D27" s="16">
        <f>tblPL[[#This Row],[revenue]]-tblPL[[#This Row],[cogs]]</f>
        <v>10436.333999999999</v>
      </c>
      <c r="E27" s="16">
        <f>Assumptions!$B$8+tblPL[[#This Row],[revenue]]*Assumptions!$B$5</f>
        <v>8762.5589999999993</v>
      </c>
      <c r="F27" s="16">
        <f>tblPL[[#This Row],[gross_profit]]-tblPL[[#This Row],[opex]]</f>
        <v>1673.7749999999996</v>
      </c>
      <c r="G27" s="17">
        <f>Assumptions!$B$9</f>
        <v>1500</v>
      </c>
      <c r="H27" s="17">
        <f>Assumptions!$B$10</f>
        <v>900</v>
      </c>
      <c r="I27" s="16">
        <f>tblPL[[#This Row],[ebitda]]-tblPL[[#This Row],[depreciation]]-tblPL[[#This Row],[interest]]</f>
        <v>-726.22500000000036</v>
      </c>
      <c r="J27" s="16">
        <f>tblPL[[#This Row],[cash_tax]]+tblPL[[#This Row],[deferred_tax]]</f>
        <v>-181.55625000000146</v>
      </c>
      <c r="K27" s="16">
        <f>tblPL[[#This Row],[pre_tax_profit]]-tblPL[[#This Row],[tax]]</f>
        <v>-544.66874999999891</v>
      </c>
      <c r="L27" s="16">
        <f>IF(MONTH(tblPL[[#This Row],[date]])=1,Assumptions!$B$11,Assumptions!$B$12)</f>
        <v>3500</v>
      </c>
      <c r="M27" s="16">
        <f>tblPL[[#This Row],[net_income]]+tblPL[[#This Row],[depreciation]]-tblPL[[#This Row],[capex]]+tblPL[[#This Row],[deferred_tax]]</f>
        <v>-2726.2250000000004</v>
      </c>
      <c r="N27" s="16">
        <f>tblPL[[#This Row],[opening_cash]]+tblPL[[#This Row],[cash_flow]]</f>
        <v>-106509.55999999998</v>
      </c>
      <c r="O27" s="16">
        <f t="shared" si="0"/>
        <v>-103783.33499999998</v>
      </c>
      <c r="P27" s="16">
        <f>MAX(0,P26-tblPL[[#This Row],[pre_tax_profit]])</f>
        <v>111009.55999999998</v>
      </c>
      <c r="Q27" s="16">
        <f>tblPL[[#This Row],[tax_loss_crfwd]]*Assumptions!$B$6</f>
        <v>27752.389999999996</v>
      </c>
      <c r="R27" s="16">
        <f>MAX(0,tblPL[[#This Row],[pre_tax_profit]]-P26)*Assumptions!$B$6</f>
        <v>0</v>
      </c>
      <c r="S27" s="16">
        <f>Q26-tblPL[[#This Row],[dta]]</f>
        <v>-181.55625000000146</v>
      </c>
    </row>
    <row r="28" spans="1:19" x14ac:dyDescent="0.35">
      <c r="A28" s="1">
        <v>45717</v>
      </c>
      <c r="B28" s="15">
        <v>20685.650000000001</v>
      </c>
      <c r="C28" s="16">
        <f>tblPL[[#This Row],[revenue]]*Assumptions!$B$4</f>
        <v>6619.4080000000004</v>
      </c>
      <c r="D28" s="16">
        <f>tblPL[[#This Row],[revenue]]-tblPL[[#This Row],[cogs]]</f>
        <v>14066.242000000002</v>
      </c>
      <c r="E28" s="16">
        <f>Assumptions!$B$8+tblPL[[#This Row],[revenue]]*Assumptions!$B$5</f>
        <v>9723.4169999999995</v>
      </c>
      <c r="F28" s="16">
        <f>tblPL[[#This Row],[gross_profit]]-tblPL[[#This Row],[opex]]</f>
        <v>4342.8250000000025</v>
      </c>
      <c r="G28" s="17">
        <f>Assumptions!$B$9</f>
        <v>1500</v>
      </c>
      <c r="H28" s="17">
        <f>Assumptions!$B$10</f>
        <v>900</v>
      </c>
      <c r="I28" s="16">
        <f>tblPL[[#This Row],[ebitda]]-tblPL[[#This Row],[depreciation]]-tblPL[[#This Row],[interest]]</f>
        <v>1942.8250000000025</v>
      </c>
      <c r="J28" s="16">
        <f>tblPL[[#This Row],[cash_tax]]+tblPL[[#This Row],[deferred_tax]]</f>
        <v>485.70624999999927</v>
      </c>
      <c r="K28" s="16">
        <f>tblPL[[#This Row],[pre_tax_profit]]-tblPL[[#This Row],[tax]]</f>
        <v>1457.1187500000033</v>
      </c>
      <c r="L28" s="16">
        <f>IF(MONTH(tblPL[[#This Row],[date]])=1,Assumptions!$B$11,Assumptions!$B$12)</f>
        <v>3500</v>
      </c>
      <c r="M28" s="16">
        <f>tblPL[[#This Row],[net_income]]+tblPL[[#This Row],[depreciation]]-tblPL[[#This Row],[capex]]+tblPL[[#This Row],[deferred_tax]]</f>
        <v>-57.174999999997453</v>
      </c>
      <c r="N28" s="16">
        <f>tblPL[[#This Row],[opening_cash]]+tblPL[[#This Row],[cash_flow]]</f>
        <v>-106566.73499999999</v>
      </c>
      <c r="O28" s="16">
        <f t="shared" si="0"/>
        <v>-106509.55999999998</v>
      </c>
      <c r="P28" s="16">
        <f>MAX(0,P27-tblPL[[#This Row],[pre_tax_profit]])</f>
        <v>109066.73499999999</v>
      </c>
      <c r="Q28" s="16">
        <f>tblPL[[#This Row],[tax_loss_crfwd]]*Assumptions!$B$6</f>
        <v>27266.683749999997</v>
      </c>
      <c r="R28" s="16">
        <f>MAX(0,tblPL[[#This Row],[pre_tax_profit]]-P27)*Assumptions!$B$6</f>
        <v>0</v>
      </c>
      <c r="S28" s="16">
        <f>Q27-tblPL[[#This Row],[dta]]</f>
        <v>485.70624999999927</v>
      </c>
    </row>
    <row r="29" spans="1:19" x14ac:dyDescent="0.35">
      <c r="A29" s="1">
        <v>45748</v>
      </c>
      <c r="B29" s="15">
        <v>15961.66</v>
      </c>
      <c r="C29" s="16">
        <f>tblPL[[#This Row],[revenue]]*Assumptions!$B$4</f>
        <v>5107.7312000000002</v>
      </c>
      <c r="D29" s="16">
        <f>tblPL[[#This Row],[revenue]]-tblPL[[#This Row],[cogs]]</f>
        <v>10853.9288</v>
      </c>
      <c r="E29" s="16">
        <f>Assumptions!$B$8+tblPL[[#This Row],[revenue]]*Assumptions!$B$5</f>
        <v>8873.0987999999998</v>
      </c>
      <c r="F29" s="16">
        <f>tblPL[[#This Row],[gross_profit]]-tblPL[[#This Row],[opex]]</f>
        <v>1980.83</v>
      </c>
      <c r="G29" s="17">
        <f>Assumptions!$B$9</f>
        <v>1500</v>
      </c>
      <c r="H29" s="17">
        <f>Assumptions!$B$10</f>
        <v>900</v>
      </c>
      <c r="I29" s="16">
        <f>tblPL[[#This Row],[ebitda]]-tblPL[[#This Row],[depreciation]]-tblPL[[#This Row],[interest]]</f>
        <v>-419.17000000000007</v>
      </c>
      <c r="J29" s="16">
        <f>tblPL[[#This Row],[cash_tax]]+tblPL[[#This Row],[deferred_tax]]</f>
        <v>-104.79249999999956</v>
      </c>
      <c r="K29" s="16">
        <f>tblPL[[#This Row],[pre_tax_profit]]-tblPL[[#This Row],[tax]]</f>
        <v>-314.37750000000051</v>
      </c>
      <c r="L29" s="16">
        <f>IF(MONTH(tblPL[[#This Row],[date]])=1,Assumptions!$B$11,Assumptions!$B$12)</f>
        <v>3500</v>
      </c>
      <c r="M29" s="16">
        <f>tblPL[[#This Row],[net_income]]+tblPL[[#This Row],[depreciation]]-tblPL[[#This Row],[capex]]+tblPL[[#This Row],[deferred_tax]]</f>
        <v>-2419.17</v>
      </c>
      <c r="N29" s="16">
        <f>tblPL[[#This Row],[opening_cash]]+tblPL[[#This Row],[cash_flow]]</f>
        <v>-108985.90499999998</v>
      </c>
      <c r="O29" s="16">
        <f t="shared" si="0"/>
        <v>-106566.73499999999</v>
      </c>
      <c r="P29" s="16">
        <f>MAX(0,P28-tblPL[[#This Row],[pre_tax_profit]])</f>
        <v>109485.90499999998</v>
      </c>
      <c r="Q29" s="16">
        <f>tblPL[[#This Row],[tax_loss_crfwd]]*Assumptions!$B$6</f>
        <v>27371.476249999996</v>
      </c>
      <c r="R29" s="16">
        <f>MAX(0,tblPL[[#This Row],[pre_tax_profit]]-P28)*Assumptions!$B$6</f>
        <v>0</v>
      </c>
      <c r="S29" s="16">
        <f>Q28-tblPL[[#This Row],[dta]]</f>
        <v>-104.79249999999956</v>
      </c>
    </row>
    <row r="30" spans="1:19" x14ac:dyDescent="0.35">
      <c r="A30" s="1">
        <v>45778</v>
      </c>
      <c r="B30" s="15">
        <v>20886.189999999999</v>
      </c>
      <c r="C30" s="16">
        <f>tblPL[[#This Row],[revenue]]*Assumptions!$B$4</f>
        <v>6683.5807999999997</v>
      </c>
      <c r="D30" s="16">
        <f>tblPL[[#This Row],[revenue]]-tblPL[[#This Row],[cogs]]</f>
        <v>14202.609199999999</v>
      </c>
      <c r="E30" s="16">
        <f>Assumptions!$B$8+tblPL[[#This Row],[revenue]]*Assumptions!$B$5</f>
        <v>9759.5141999999996</v>
      </c>
      <c r="F30" s="16">
        <f>tblPL[[#This Row],[gross_profit]]-tblPL[[#This Row],[opex]]</f>
        <v>4443.0949999999993</v>
      </c>
      <c r="G30" s="17">
        <f>Assumptions!$B$9</f>
        <v>1500</v>
      </c>
      <c r="H30" s="17">
        <f>Assumptions!$B$10</f>
        <v>900</v>
      </c>
      <c r="I30" s="16">
        <f>tblPL[[#This Row],[ebitda]]-tblPL[[#This Row],[depreciation]]-tblPL[[#This Row],[interest]]</f>
        <v>2043.0949999999993</v>
      </c>
      <c r="J30" s="16">
        <f>tblPL[[#This Row],[cash_tax]]+tblPL[[#This Row],[deferred_tax]]</f>
        <v>510.77375000000029</v>
      </c>
      <c r="K30" s="16">
        <f>tblPL[[#This Row],[pre_tax_profit]]-tblPL[[#This Row],[tax]]</f>
        <v>1532.3212499999991</v>
      </c>
      <c r="L30" s="16">
        <f>IF(MONTH(tblPL[[#This Row],[date]])=1,Assumptions!$B$11,Assumptions!$B$12)</f>
        <v>3500</v>
      </c>
      <c r="M30" s="16">
        <f>tblPL[[#This Row],[net_income]]+tblPL[[#This Row],[depreciation]]-tblPL[[#This Row],[capex]]+tblPL[[#This Row],[deferred_tax]]</f>
        <v>43.094999999999345</v>
      </c>
      <c r="N30" s="16">
        <f>tblPL[[#This Row],[opening_cash]]+tblPL[[#This Row],[cash_flow]]</f>
        <v>-108942.80999999998</v>
      </c>
      <c r="O30" s="16">
        <f t="shared" si="0"/>
        <v>-108985.90499999998</v>
      </c>
      <c r="P30" s="16">
        <f>MAX(0,P29-tblPL[[#This Row],[pre_tax_profit]])</f>
        <v>107442.80999999998</v>
      </c>
      <c r="Q30" s="16">
        <f>tblPL[[#This Row],[tax_loss_crfwd]]*Assumptions!$B$6</f>
        <v>26860.702499999996</v>
      </c>
      <c r="R30" s="16">
        <f>MAX(0,tblPL[[#This Row],[pre_tax_profit]]-P29)*Assumptions!$B$6</f>
        <v>0</v>
      </c>
      <c r="S30" s="16">
        <f>Q29-tblPL[[#This Row],[dta]]</f>
        <v>510.77375000000029</v>
      </c>
    </row>
    <row r="31" spans="1:19" x14ac:dyDescent="0.35">
      <c r="A31" s="1">
        <v>45809</v>
      </c>
      <c r="B31" s="15">
        <v>30793.8</v>
      </c>
      <c r="C31" s="16">
        <f>tblPL[[#This Row],[revenue]]*Assumptions!$B$4</f>
        <v>9854.0159999999996</v>
      </c>
      <c r="D31" s="16">
        <f>tblPL[[#This Row],[revenue]]-tblPL[[#This Row],[cogs]]</f>
        <v>20939.784</v>
      </c>
      <c r="E31" s="16">
        <f>Assumptions!$B$8+tblPL[[#This Row],[revenue]]*Assumptions!$B$5</f>
        <v>11542.884</v>
      </c>
      <c r="F31" s="16">
        <f>tblPL[[#This Row],[gross_profit]]-tblPL[[#This Row],[opex]]</f>
        <v>9396.9</v>
      </c>
      <c r="G31" s="17">
        <f>Assumptions!$B$9</f>
        <v>1500</v>
      </c>
      <c r="H31" s="17">
        <f>Assumptions!$B$10</f>
        <v>900</v>
      </c>
      <c r="I31" s="16">
        <f>tblPL[[#This Row],[ebitda]]-tblPL[[#This Row],[depreciation]]-tblPL[[#This Row],[interest]]</f>
        <v>6996.9</v>
      </c>
      <c r="J31" s="16">
        <f>tblPL[[#This Row],[cash_tax]]+tblPL[[#This Row],[deferred_tax]]</f>
        <v>1749.2249999999985</v>
      </c>
      <c r="K31" s="16">
        <f>tblPL[[#This Row],[pre_tax_profit]]-tblPL[[#This Row],[tax]]</f>
        <v>5247.6750000000011</v>
      </c>
      <c r="L31" s="16">
        <f>IF(MONTH(tblPL[[#This Row],[date]])=1,Assumptions!$B$11,Assumptions!$B$12)</f>
        <v>3500</v>
      </c>
      <c r="M31" s="16">
        <f>tblPL[[#This Row],[net_income]]+tblPL[[#This Row],[depreciation]]-tblPL[[#This Row],[capex]]+tblPL[[#This Row],[deferred_tax]]</f>
        <v>4996.8999999999996</v>
      </c>
      <c r="N31" s="16">
        <f>tblPL[[#This Row],[opening_cash]]+tblPL[[#This Row],[cash_flow]]</f>
        <v>-103945.90999999999</v>
      </c>
      <c r="O31" s="16">
        <f t="shared" si="0"/>
        <v>-108942.80999999998</v>
      </c>
      <c r="P31" s="16">
        <f>MAX(0,P30-tblPL[[#This Row],[pre_tax_profit]])</f>
        <v>100445.90999999999</v>
      </c>
      <c r="Q31" s="16">
        <f>tblPL[[#This Row],[tax_loss_crfwd]]*Assumptions!$B$6</f>
        <v>25111.477499999997</v>
      </c>
      <c r="R31" s="16">
        <f>MAX(0,tblPL[[#This Row],[pre_tax_profit]]-P30)*Assumptions!$B$6</f>
        <v>0</v>
      </c>
      <c r="S31" s="16">
        <f>Q30-tblPL[[#This Row],[dta]]</f>
        <v>1749.2249999999985</v>
      </c>
    </row>
    <row r="32" spans="1:19" x14ac:dyDescent="0.35">
      <c r="A32" s="1">
        <v>45839</v>
      </c>
      <c r="B32" s="15">
        <v>21936.31</v>
      </c>
      <c r="C32" s="16">
        <f>tblPL[[#This Row],[revenue]]*Assumptions!$B$4</f>
        <v>7019.619200000001</v>
      </c>
      <c r="D32" s="16">
        <f>tblPL[[#This Row],[revenue]]-tblPL[[#This Row],[cogs]]</f>
        <v>14916.6908</v>
      </c>
      <c r="E32" s="16">
        <f>Assumptions!$B$8+tblPL[[#This Row],[revenue]]*Assumptions!$B$5</f>
        <v>9948.5357999999997</v>
      </c>
      <c r="F32" s="16">
        <f>tblPL[[#This Row],[gross_profit]]-tblPL[[#This Row],[opex]]</f>
        <v>4968.1550000000007</v>
      </c>
      <c r="G32" s="17">
        <f>Assumptions!$B$9</f>
        <v>1500</v>
      </c>
      <c r="H32" s="17">
        <f>Assumptions!$B$10</f>
        <v>900</v>
      </c>
      <c r="I32" s="16">
        <f>tblPL[[#This Row],[ebitda]]-tblPL[[#This Row],[depreciation]]-tblPL[[#This Row],[interest]]</f>
        <v>2568.1550000000007</v>
      </c>
      <c r="J32" s="16">
        <f>tblPL[[#This Row],[cash_tax]]+tblPL[[#This Row],[deferred_tax]]</f>
        <v>642.03874999999971</v>
      </c>
      <c r="K32" s="16">
        <f>tblPL[[#This Row],[pre_tax_profit]]-tblPL[[#This Row],[tax]]</f>
        <v>1926.1162500000009</v>
      </c>
      <c r="L32" s="16">
        <f>IF(MONTH(tblPL[[#This Row],[date]])=1,Assumptions!$B$11,Assumptions!$B$12)</f>
        <v>3500</v>
      </c>
      <c r="M32" s="16">
        <f>tblPL[[#This Row],[net_income]]+tblPL[[#This Row],[depreciation]]-tblPL[[#This Row],[capex]]+tblPL[[#This Row],[deferred_tax]]</f>
        <v>568.15500000000065</v>
      </c>
      <c r="N32" s="16">
        <f>tblPL[[#This Row],[opening_cash]]+tblPL[[#This Row],[cash_flow]]</f>
        <v>-103377.75499999999</v>
      </c>
      <c r="O32" s="16">
        <f t="shared" si="0"/>
        <v>-103945.90999999999</v>
      </c>
      <c r="P32" s="16">
        <f>MAX(0,P31-tblPL[[#This Row],[pre_tax_profit]])</f>
        <v>97877.75499999999</v>
      </c>
      <c r="Q32" s="16">
        <f>tblPL[[#This Row],[tax_loss_crfwd]]*Assumptions!$B$6</f>
        <v>24469.438749999998</v>
      </c>
      <c r="R32" s="16">
        <f>MAX(0,tblPL[[#This Row],[pre_tax_profit]]-P31)*Assumptions!$B$6</f>
        <v>0</v>
      </c>
      <c r="S32" s="16">
        <f>Q31-tblPL[[#This Row],[dta]]</f>
        <v>642.03874999999971</v>
      </c>
    </row>
    <row r="33" spans="1:19" x14ac:dyDescent="0.35">
      <c r="A33" s="1">
        <v>45870</v>
      </c>
      <c r="B33" s="15">
        <v>20841.09</v>
      </c>
      <c r="C33" s="16">
        <f>tblPL[[#This Row],[revenue]]*Assumptions!$B$4</f>
        <v>6669.1487999999999</v>
      </c>
      <c r="D33" s="16">
        <f>tblPL[[#This Row],[revenue]]-tblPL[[#This Row],[cogs]]</f>
        <v>14171.941200000001</v>
      </c>
      <c r="E33" s="16">
        <f>Assumptions!$B$8+tblPL[[#This Row],[revenue]]*Assumptions!$B$5</f>
        <v>9751.3961999999992</v>
      </c>
      <c r="F33" s="16">
        <f>tblPL[[#This Row],[gross_profit]]-tblPL[[#This Row],[opex]]</f>
        <v>4420.5450000000019</v>
      </c>
      <c r="G33" s="17">
        <f>Assumptions!$B$9</f>
        <v>1500</v>
      </c>
      <c r="H33" s="17">
        <f>Assumptions!$B$10</f>
        <v>900</v>
      </c>
      <c r="I33" s="16">
        <f>tblPL[[#This Row],[ebitda]]-tblPL[[#This Row],[depreciation]]-tblPL[[#This Row],[interest]]</f>
        <v>2020.5450000000019</v>
      </c>
      <c r="J33" s="16">
        <f>tblPL[[#This Row],[cash_tax]]+tblPL[[#This Row],[deferred_tax]]</f>
        <v>505.13624999999956</v>
      </c>
      <c r="K33" s="16">
        <f>tblPL[[#This Row],[pre_tax_profit]]-tblPL[[#This Row],[tax]]</f>
        <v>1515.4087500000023</v>
      </c>
      <c r="L33" s="16">
        <f>IF(MONTH(tblPL[[#This Row],[date]])=1,Assumptions!$B$11,Assumptions!$B$12)</f>
        <v>3500</v>
      </c>
      <c r="M33" s="16">
        <f>tblPL[[#This Row],[net_income]]+tblPL[[#This Row],[depreciation]]-tblPL[[#This Row],[capex]]+tblPL[[#This Row],[deferred_tax]]</f>
        <v>20.545000000001892</v>
      </c>
      <c r="N33" s="16">
        <f>tblPL[[#This Row],[opening_cash]]+tblPL[[#This Row],[cash_flow]]</f>
        <v>-103357.20999999999</v>
      </c>
      <c r="O33" s="16">
        <f t="shared" si="0"/>
        <v>-103377.75499999999</v>
      </c>
      <c r="P33" s="16">
        <f>MAX(0,P32-tblPL[[#This Row],[pre_tax_profit]])</f>
        <v>95857.209999999992</v>
      </c>
      <c r="Q33" s="16">
        <f>tblPL[[#This Row],[tax_loss_crfwd]]*Assumptions!$B$6</f>
        <v>23964.302499999998</v>
      </c>
      <c r="R33" s="16">
        <f>MAX(0,tblPL[[#This Row],[pre_tax_profit]]-P32)*Assumptions!$B$6</f>
        <v>0</v>
      </c>
      <c r="S33" s="16">
        <f>Q32-tblPL[[#This Row],[dta]]</f>
        <v>505.13624999999956</v>
      </c>
    </row>
    <row r="34" spans="1:19" x14ac:dyDescent="0.35">
      <c r="A34" s="1">
        <v>45901</v>
      </c>
      <c r="B34" s="15">
        <v>17856.099999999999</v>
      </c>
      <c r="C34" s="16">
        <f>tblPL[[#This Row],[revenue]]*Assumptions!$B$4</f>
        <v>5713.9519999999993</v>
      </c>
      <c r="D34" s="16">
        <f>tblPL[[#This Row],[revenue]]-tblPL[[#This Row],[cogs]]</f>
        <v>12142.147999999999</v>
      </c>
      <c r="E34" s="16">
        <f>Assumptions!$B$8+tblPL[[#This Row],[revenue]]*Assumptions!$B$5</f>
        <v>9214.098</v>
      </c>
      <c r="F34" s="16">
        <f>tblPL[[#This Row],[gross_profit]]-tblPL[[#This Row],[opex]]</f>
        <v>2928.0499999999993</v>
      </c>
      <c r="G34" s="17">
        <f>Assumptions!$B$9</f>
        <v>1500</v>
      </c>
      <c r="H34" s="17">
        <f>Assumptions!$B$10</f>
        <v>900</v>
      </c>
      <c r="I34" s="16">
        <f>tblPL[[#This Row],[ebitda]]-tblPL[[#This Row],[depreciation]]-tblPL[[#This Row],[interest]]</f>
        <v>528.04999999999927</v>
      </c>
      <c r="J34" s="16">
        <f>tblPL[[#This Row],[cash_tax]]+tblPL[[#This Row],[deferred_tax]]</f>
        <v>132.01250000000073</v>
      </c>
      <c r="K34" s="16">
        <f>tblPL[[#This Row],[pre_tax_profit]]-tblPL[[#This Row],[tax]]</f>
        <v>396.03749999999854</v>
      </c>
      <c r="L34" s="16">
        <f>IF(MONTH(tblPL[[#This Row],[date]])=1,Assumptions!$B$11,Assumptions!$B$12)</f>
        <v>3500</v>
      </c>
      <c r="M34" s="16">
        <f>tblPL[[#This Row],[net_income]]+tblPL[[#This Row],[depreciation]]-tblPL[[#This Row],[capex]]+tblPL[[#This Row],[deferred_tax]]</f>
        <v>-1471.9500000000007</v>
      </c>
      <c r="N34" s="16">
        <f>tblPL[[#This Row],[opening_cash]]+tblPL[[#This Row],[cash_flow]]</f>
        <v>-104829.15999999999</v>
      </c>
      <c r="O34" s="16">
        <f t="shared" si="0"/>
        <v>-103357.20999999999</v>
      </c>
      <c r="P34" s="16">
        <f>MAX(0,P33-tblPL[[#This Row],[pre_tax_profit]])</f>
        <v>95329.159999999989</v>
      </c>
      <c r="Q34" s="16">
        <f>tblPL[[#This Row],[tax_loss_crfwd]]*Assumptions!$B$6</f>
        <v>23832.289999999997</v>
      </c>
      <c r="R34" s="16">
        <f>MAX(0,tblPL[[#This Row],[pre_tax_profit]]-P33)*Assumptions!$B$6</f>
        <v>0</v>
      </c>
      <c r="S34" s="16">
        <f>Q33-tblPL[[#This Row],[dta]]</f>
        <v>132.01250000000073</v>
      </c>
    </row>
    <row r="35" spans="1:19" x14ac:dyDescent="0.35">
      <c r="A35" s="1">
        <v>45931</v>
      </c>
      <c r="B35" s="15">
        <v>25253.13</v>
      </c>
      <c r="C35" s="16">
        <f>tblPL[[#This Row],[revenue]]*Assumptions!$B$4</f>
        <v>8081.0016000000005</v>
      </c>
      <c r="D35" s="16">
        <f>tblPL[[#This Row],[revenue]]-tblPL[[#This Row],[cogs]]</f>
        <v>17172.128400000001</v>
      </c>
      <c r="E35" s="16">
        <f>Assumptions!$B$8+tblPL[[#This Row],[revenue]]*Assumptions!$B$5</f>
        <v>10545.563399999999</v>
      </c>
      <c r="F35" s="16">
        <f>tblPL[[#This Row],[gross_profit]]-tblPL[[#This Row],[opex]]</f>
        <v>6626.5650000000023</v>
      </c>
      <c r="G35" s="17">
        <f>Assumptions!$B$9</f>
        <v>1500</v>
      </c>
      <c r="H35" s="17">
        <f>Assumptions!$B$10</f>
        <v>900</v>
      </c>
      <c r="I35" s="16">
        <f>tblPL[[#This Row],[ebitda]]-tblPL[[#This Row],[depreciation]]-tblPL[[#This Row],[interest]]</f>
        <v>4226.5650000000023</v>
      </c>
      <c r="J35" s="16">
        <f>tblPL[[#This Row],[cash_tax]]+tblPL[[#This Row],[deferred_tax]]</f>
        <v>1056.6412500000006</v>
      </c>
      <c r="K35" s="16">
        <f>tblPL[[#This Row],[pre_tax_profit]]-tblPL[[#This Row],[tax]]</f>
        <v>3169.9237500000017</v>
      </c>
      <c r="L35" s="16">
        <f>IF(MONTH(tblPL[[#This Row],[date]])=1,Assumptions!$B$11,Assumptions!$B$12)</f>
        <v>3500</v>
      </c>
      <c r="M35" s="16">
        <f>tblPL[[#This Row],[net_income]]+tblPL[[#This Row],[depreciation]]-tblPL[[#This Row],[capex]]+tblPL[[#This Row],[deferred_tax]]</f>
        <v>2226.5650000000023</v>
      </c>
      <c r="N35" s="16">
        <f>tblPL[[#This Row],[opening_cash]]+tblPL[[#This Row],[cash_flow]]</f>
        <v>-102602.59499999999</v>
      </c>
      <c r="O35" s="16">
        <f t="shared" si="0"/>
        <v>-104829.15999999999</v>
      </c>
      <c r="P35" s="16">
        <f>MAX(0,P34-tblPL[[#This Row],[pre_tax_profit]])</f>
        <v>91102.594999999987</v>
      </c>
      <c r="Q35" s="16">
        <f>tblPL[[#This Row],[tax_loss_crfwd]]*Assumptions!$B$6</f>
        <v>22775.648749999997</v>
      </c>
      <c r="R35" s="16">
        <f>MAX(0,tblPL[[#This Row],[pre_tax_profit]]-P34)*Assumptions!$B$6</f>
        <v>0</v>
      </c>
      <c r="S35" s="16">
        <f>Q34-tblPL[[#This Row],[dta]]</f>
        <v>1056.6412500000006</v>
      </c>
    </row>
    <row r="36" spans="1:19" x14ac:dyDescent="0.35">
      <c r="A36" s="1">
        <v>45962</v>
      </c>
      <c r="B36" s="15">
        <v>23659.599999999999</v>
      </c>
      <c r="C36" s="16">
        <f>tblPL[[#This Row],[revenue]]*Assumptions!$B$4</f>
        <v>7571.0720000000001</v>
      </c>
      <c r="D36" s="16">
        <f>tblPL[[#This Row],[revenue]]-tblPL[[#This Row],[cogs]]</f>
        <v>16088.527999999998</v>
      </c>
      <c r="E36" s="16">
        <f>Assumptions!$B$8+tblPL[[#This Row],[revenue]]*Assumptions!$B$5</f>
        <v>10258.727999999999</v>
      </c>
      <c r="F36" s="16">
        <f>tblPL[[#This Row],[gross_profit]]-tblPL[[#This Row],[opex]]</f>
        <v>5829.7999999999993</v>
      </c>
      <c r="G36" s="17">
        <f>Assumptions!$B$9</f>
        <v>1500</v>
      </c>
      <c r="H36" s="17">
        <f>Assumptions!$B$10</f>
        <v>900</v>
      </c>
      <c r="I36" s="16">
        <f>tblPL[[#This Row],[ebitda]]-tblPL[[#This Row],[depreciation]]-tblPL[[#This Row],[interest]]</f>
        <v>3429.7999999999993</v>
      </c>
      <c r="J36" s="16">
        <f>tblPL[[#This Row],[cash_tax]]+tblPL[[#This Row],[deferred_tax]]</f>
        <v>857.45000000000073</v>
      </c>
      <c r="K36" s="16">
        <f>tblPL[[#This Row],[pre_tax_profit]]-tblPL[[#This Row],[tax]]</f>
        <v>2572.3499999999985</v>
      </c>
      <c r="L36" s="16">
        <f>IF(MONTH(tblPL[[#This Row],[date]])=1,Assumptions!$B$11,Assumptions!$B$12)</f>
        <v>3500</v>
      </c>
      <c r="M36" s="16">
        <f>tblPL[[#This Row],[net_income]]+tblPL[[#This Row],[depreciation]]-tblPL[[#This Row],[capex]]+tblPL[[#This Row],[deferred_tax]]</f>
        <v>1429.7999999999993</v>
      </c>
      <c r="N36" s="16">
        <f>tblPL[[#This Row],[opening_cash]]+tblPL[[#This Row],[cash_flow]]</f>
        <v>-101172.79499999998</v>
      </c>
      <c r="O36" s="16">
        <f t="shared" si="0"/>
        <v>-102602.59499999999</v>
      </c>
      <c r="P36" s="16">
        <f>MAX(0,P35-tblPL[[#This Row],[pre_tax_profit]])</f>
        <v>87672.794999999984</v>
      </c>
      <c r="Q36" s="16">
        <f>tblPL[[#This Row],[tax_loss_crfwd]]*Assumptions!$B$6</f>
        <v>21918.198749999996</v>
      </c>
      <c r="R36" s="16">
        <f>MAX(0,tblPL[[#This Row],[pre_tax_profit]]-P35)*Assumptions!$B$6</f>
        <v>0</v>
      </c>
      <c r="S36" s="16">
        <f>Q35-tblPL[[#This Row],[dta]]</f>
        <v>857.45000000000073</v>
      </c>
    </row>
    <row r="37" spans="1:19" x14ac:dyDescent="0.35">
      <c r="A37" s="1">
        <v>45992</v>
      </c>
      <c r="B37" s="15">
        <v>24960.68</v>
      </c>
      <c r="C37" s="16">
        <f>tblPL[[#This Row],[revenue]]*Assumptions!$B$4</f>
        <v>7987.4176000000007</v>
      </c>
      <c r="D37" s="16">
        <f>tblPL[[#This Row],[revenue]]-tblPL[[#This Row],[cogs]]</f>
        <v>16973.2624</v>
      </c>
      <c r="E37" s="16">
        <f>Assumptions!$B$8+tblPL[[#This Row],[revenue]]*Assumptions!$B$5</f>
        <v>10492.922399999999</v>
      </c>
      <c r="F37" s="16">
        <f>tblPL[[#This Row],[gross_profit]]-tblPL[[#This Row],[opex]]</f>
        <v>6480.34</v>
      </c>
      <c r="G37" s="17">
        <f>Assumptions!$B$9</f>
        <v>1500</v>
      </c>
      <c r="H37" s="17">
        <f>Assumptions!$B$10</f>
        <v>900</v>
      </c>
      <c r="I37" s="16">
        <f>tblPL[[#This Row],[ebitda]]-tblPL[[#This Row],[depreciation]]-tblPL[[#This Row],[interest]]</f>
        <v>4080.34</v>
      </c>
      <c r="J37" s="16">
        <f>tblPL[[#This Row],[cash_tax]]+tblPL[[#This Row],[deferred_tax]]</f>
        <v>1020.0849999999991</v>
      </c>
      <c r="K37" s="16">
        <f>tblPL[[#This Row],[pre_tax_profit]]-tblPL[[#This Row],[tax]]</f>
        <v>3060.255000000001</v>
      </c>
      <c r="L37" s="16">
        <f>IF(MONTH(tblPL[[#This Row],[date]])=1,Assumptions!$B$11,Assumptions!$B$12)</f>
        <v>3500</v>
      </c>
      <c r="M37" s="16">
        <f>tblPL[[#This Row],[net_income]]+tblPL[[#This Row],[depreciation]]-tblPL[[#This Row],[capex]]+tblPL[[#This Row],[deferred_tax]]</f>
        <v>2080.34</v>
      </c>
      <c r="N37" s="16">
        <f>tblPL[[#This Row],[opening_cash]]+tblPL[[#This Row],[cash_flow]]</f>
        <v>-99092.454999999987</v>
      </c>
      <c r="O37" s="16">
        <f t="shared" si="0"/>
        <v>-101172.79499999998</v>
      </c>
      <c r="P37" s="16">
        <f>MAX(0,P36-tblPL[[#This Row],[pre_tax_profit]])</f>
        <v>83592.454999999987</v>
      </c>
      <c r="Q37" s="16">
        <f>tblPL[[#This Row],[tax_loss_crfwd]]*Assumptions!$B$6</f>
        <v>20898.113749999997</v>
      </c>
      <c r="R37" s="16">
        <f>MAX(0,tblPL[[#This Row],[pre_tax_profit]]-P36)*Assumptions!$B$6</f>
        <v>0</v>
      </c>
      <c r="S37" s="16">
        <f>Q36-tblPL[[#This Row],[dta]]</f>
        <v>1020.0849999999991</v>
      </c>
    </row>
    <row r="38" spans="1:19" x14ac:dyDescent="0.35">
      <c r="A38" s="1">
        <v>46023</v>
      </c>
      <c r="B38" s="15">
        <v>187.32</v>
      </c>
      <c r="C38" s="16">
        <f>tblPL[[#This Row],[revenue]]*Assumptions!$B$4</f>
        <v>59.942399999999999</v>
      </c>
      <c r="D38" s="16">
        <f>tblPL[[#This Row],[revenue]]-tblPL[[#This Row],[cogs]]</f>
        <v>127.3776</v>
      </c>
      <c r="E38" s="16">
        <f>Assumptions!$B$8+tblPL[[#This Row],[revenue]]*Assumptions!$B$5</f>
        <v>6033.7175999999999</v>
      </c>
      <c r="F38" s="16">
        <f>tblPL[[#This Row],[gross_profit]]-tblPL[[#This Row],[opex]]</f>
        <v>-5906.34</v>
      </c>
      <c r="G38" s="17">
        <f>Assumptions!$B$9</f>
        <v>1500</v>
      </c>
      <c r="H38" s="17">
        <f>Assumptions!$B$10</f>
        <v>900</v>
      </c>
      <c r="I38" s="16">
        <f>tblPL[[#This Row],[ebitda]]-tblPL[[#This Row],[depreciation]]-tblPL[[#This Row],[interest]]</f>
        <v>-8306.34</v>
      </c>
      <c r="J38" s="16">
        <f>tblPL[[#This Row],[cash_tax]]+tblPL[[#This Row],[deferred_tax]]</f>
        <v>-2076.5849999999991</v>
      </c>
      <c r="K38" s="16">
        <f>tblPL[[#This Row],[pre_tax_profit]]-tblPL[[#This Row],[tax]]</f>
        <v>-6229.755000000001</v>
      </c>
      <c r="L38" s="16">
        <f>IF(MONTH(tblPL[[#This Row],[date]])=1,Assumptions!$B$11,Assumptions!$B$12)</f>
        <v>18000</v>
      </c>
      <c r="M38" s="16">
        <f>tblPL[[#This Row],[net_income]]+tblPL[[#This Row],[depreciation]]-tblPL[[#This Row],[capex]]+tblPL[[#This Row],[deferred_tax]]</f>
        <v>-24806.34</v>
      </c>
      <c r="N38" s="16">
        <f>tblPL[[#This Row],[opening_cash]]+tblPL[[#This Row],[cash_flow]]</f>
        <v>-123898.79499999998</v>
      </c>
      <c r="O38" s="16">
        <f t="shared" si="0"/>
        <v>-99092.454999999987</v>
      </c>
      <c r="P38" s="16">
        <f>MAX(0,P37-tblPL[[#This Row],[pre_tax_profit]])</f>
        <v>91898.794999999984</v>
      </c>
      <c r="Q38" s="16">
        <f>tblPL[[#This Row],[tax_loss_crfwd]]*Assumptions!$B$6</f>
        <v>22974.698749999996</v>
      </c>
      <c r="R38" s="16">
        <f>MAX(0,tblPL[[#This Row],[pre_tax_profit]]-P37)*Assumptions!$B$6</f>
        <v>0</v>
      </c>
      <c r="S38" s="16">
        <f>Q37-tblPL[[#This Row],[dta]]</f>
        <v>-2076.5849999999991</v>
      </c>
    </row>
    <row r="41" spans="1:19" x14ac:dyDescent="0.35">
      <c r="I41" s="33"/>
      <c r="K41" s="33"/>
      <c r="M41" s="33"/>
      <c r="S41" s="3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C908-C0F1-432D-927F-1E00FFA05D00}">
  <dimension ref="A1:C14"/>
  <sheetViews>
    <sheetView workbookViewId="0">
      <selection activeCell="B4" sqref="B4"/>
    </sheetView>
  </sheetViews>
  <sheetFormatPr defaultRowHeight="14.5" x14ac:dyDescent="0.35"/>
  <cols>
    <col min="1" max="1" width="21" bestFit="1" customWidth="1"/>
    <col min="2" max="2" width="8.1796875" bestFit="1" customWidth="1"/>
    <col min="3" max="3" width="61" bestFit="1" customWidth="1"/>
  </cols>
  <sheetData>
    <row r="1" spans="1:3" x14ac:dyDescent="0.35">
      <c r="A1" t="s">
        <v>14</v>
      </c>
      <c r="B1" t="s">
        <v>15</v>
      </c>
      <c r="C1" t="s">
        <v>16</v>
      </c>
    </row>
    <row r="2" spans="1:3" x14ac:dyDescent="0.35">
      <c r="A2" t="s">
        <v>17</v>
      </c>
      <c r="B2" s="13">
        <v>0.04</v>
      </c>
      <c r="C2" t="s">
        <v>18</v>
      </c>
    </row>
    <row r="3" spans="1:3" x14ac:dyDescent="0.35">
      <c r="A3" t="s">
        <v>19</v>
      </c>
      <c r="B3" s="13">
        <v>0.05</v>
      </c>
      <c r="C3" t="s">
        <v>20</v>
      </c>
    </row>
    <row r="4" spans="1:3" x14ac:dyDescent="0.35">
      <c r="A4" t="s">
        <v>21</v>
      </c>
      <c r="B4" s="13">
        <v>0.32</v>
      </c>
      <c r="C4" t="s">
        <v>22</v>
      </c>
    </row>
    <row r="5" spans="1:3" x14ac:dyDescent="0.35">
      <c r="A5" t="s">
        <v>23</v>
      </c>
      <c r="B5" s="13">
        <v>0.18</v>
      </c>
      <c r="C5" t="s">
        <v>24</v>
      </c>
    </row>
    <row r="6" spans="1:3" x14ac:dyDescent="0.35">
      <c r="A6" t="s">
        <v>25</v>
      </c>
      <c r="B6" s="13">
        <v>0.25</v>
      </c>
      <c r="C6" t="s">
        <v>26</v>
      </c>
    </row>
    <row r="7" spans="1:3" x14ac:dyDescent="0.35">
      <c r="A7" t="s">
        <v>27</v>
      </c>
      <c r="B7" s="13">
        <v>0.09</v>
      </c>
      <c r="C7" t="s">
        <v>28</v>
      </c>
    </row>
    <row r="8" spans="1:3" x14ac:dyDescent="0.35">
      <c r="A8" t="s">
        <v>108</v>
      </c>
      <c r="B8" s="14">
        <v>6000</v>
      </c>
      <c r="C8" t="s">
        <v>109</v>
      </c>
    </row>
    <row r="9" spans="1:3" x14ac:dyDescent="0.35">
      <c r="A9" t="s">
        <v>110</v>
      </c>
      <c r="B9" s="14">
        <v>1500</v>
      </c>
      <c r="C9" t="s">
        <v>111</v>
      </c>
    </row>
    <row r="10" spans="1:3" x14ac:dyDescent="0.35">
      <c r="A10" t="s">
        <v>112</v>
      </c>
      <c r="B10" s="14">
        <v>900</v>
      </c>
      <c r="C10" t="s">
        <v>113</v>
      </c>
    </row>
    <row r="11" spans="1:3" x14ac:dyDescent="0.35">
      <c r="A11" t="s">
        <v>114</v>
      </c>
      <c r="B11" s="14">
        <v>18000</v>
      </c>
      <c r="C11" t="s">
        <v>115</v>
      </c>
    </row>
    <row r="12" spans="1:3" x14ac:dyDescent="0.35">
      <c r="A12" t="s">
        <v>116</v>
      </c>
      <c r="B12" s="14">
        <v>3500</v>
      </c>
      <c r="C12" t="s">
        <v>117</v>
      </c>
    </row>
    <row r="13" spans="1:3" x14ac:dyDescent="0.35">
      <c r="A13" t="s">
        <v>13</v>
      </c>
      <c r="B13" s="14">
        <v>100000</v>
      </c>
      <c r="C13" t="s">
        <v>118</v>
      </c>
    </row>
    <row r="14" spans="1:3" x14ac:dyDescent="0.35">
      <c r="A14" t="s">
        <v>200</v>
      </c>
      <c r="B14" s="15">
        <v>0</v>
      </c>
      <c r="C14" t="s">
        <v>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2890-9280-4DFA-8B0B-CD61771F3B96}">
  <dimension ref="A1:J112"/>
  <sheetViews>
    <sheetView workbookViewId="0">
      <selection activeCell="D17" sqref="D17:D25"/>
    </sheetView>
  </sheetViews>
  <sheetFormatPr defaultRowHeight="14.5" x14ac:dyDescent="0.35"/>
  <cols>
    <col min="1" max="1" width="49.54296875" customWidth="1"/>
    <col min="2" max="2" width="18.1796875" customWidth="1"/>
    <col min="3" max="3" width="51.453125" customWidth="1"/>
    <col min="4" max="4" width="43.81640625" customWidth="1"/>
    <col min="5" max="5" width="49.54296875" customWidth="1"/>
    <col min="6" max="6" width="57.1796875" customWidth="1"/>
    <col min="7" max="7" width="21" customWidth="1"/>
    <col min="8" max="8" width="72.453125" customWidth="1"/>
    <col min="9" max="9" width="21" customWidth="1"/>
    <col min="10" max="10" width="99" customWidth="1"/>
  </cols>
  <sheetData>
    <row r="1" spans="1:10" ht="18.5" x14ac:dyDescent="0.45">
      <c r="A1" s="3" t="s">
        <v>29</v>
      </c>
    </row>
    <row r="2" spans="1:10" x14ac:dyDescent="0.35">
      <c r="A2" s="4" t="s">
        <v>120</v>
      </c>
    </row>
    <row r="4" spans="1:10" ht="15.5" x14ac:dyDescent="0.35">
      <c r="A4" s="5" t="s">
        <v>171</v>
      </c>
    </row>
    <row r="5" spans="1:10" x14ac:dyDescent="0.35">
      <c r="A5" t="s">
        <v>172</v>
      </c>
      <c r="B5" s="2">
        <f>COUNT(tblConstantsAudit[Detected constant])</f>
        <v>9</v>
      </c>
    </row>
    <row r="6" spans="1:10" x14ac:dyDescent="0.35">
      <c r="A6" t="s">
        <v>173</v>
      </c>
      <c r="B6" s="2">
        <f>SUM(tblConstantsAudit[Cells using])</f>
        <v>260</v>
      </c>
    </row>
    <row r="7" spans="1:10" x14ac:dyDescent="0.35">
      <c r="A7" t="s">
        <v>174</v>
      </c>
      <c r="B7" s="2" cm="1">
        <f t="array" ref="B7">SUMPRODUCT(--_xlfn.ISFORMULA('P&amp;L'!A2:S38))</f>
        <v>629</v>
      </c>
    </row>
    <row r="8" spans="1:10" x14ac:dyDescent="0.35">
      <c r="A8" t="s">
        <v>175</v>
      </c>
      <c r="B8" s="2">
        <f>COUNT('P&amp;L'!A2:S38)-B7</f>
        <v>74</v>
      </c>
    </row>
    <row r="9" spans="1:10" ht="15.5" x14ac:dyDescent="0.35">
      <c r="A9" s="5" t="s">
        <v>33</v>
      </c>
    </row>
    <row r="10" spans="1:10" ht="15" customHeight="1" x14ac:dyDescent="0.35">
      <c r="A10" s="25" t="s">
        <v>176</v>
      </c>
      <c r="B10" s="25" t="s">
        <v>177</v>
      </c>
      <c r="C10" s="25" t="s">
        <v>178</v>
      </c>
      <c r="D10" s="25" t="s">
        <v>179</v>
      </c>
    </row>
    <row r="11" spans="1:10" x14ac:dyDescent="0.35">
      <c r="A11">
        <v>1</v>
      </c>
      <c r="B11" s="26" cm="1">
        <f t="array" ref="B11">INDEX(_xlfn.SORTBY(tblConstantsAudit[Detected constant],tblConstantsAudit[Cells using],-1),A11)</f>
        <v>0.32</v>
      </c>
      <c r="C11" t="str" cm="1">
        <f t="array" ref="C11">INDEX(_xlfn.SORTBY(tblConstantsAudit[Suggested named assumption],tblConstantsAudit[Cells using],-1),A11)</f>
        <v>cogs_pct</v>
      </c>
      <c r="D11" cm="1">
        <f t="array" ref="D11">INDEX(_xlfn.SORTBY(tblConstantsAudit[Cells using],tblConstantsAudit[Cells using],-1),A11)</f>
        <v>37</v>
      </c>
    </row>
    <row r="12" spans="1:10" x14ac:dyDescent="0.35">
      <c r="A12">
        <v>2</v>
      </c>
      <c r="B12" s="26" cm="1">
        <f t="array" ref="B12">INDEX(_xlfn.SORTBY(tblConstantsAudit[Detected constant],tblConstantsAudit[Cells using],-1),A12)</f>
        <v>6000</v>
      </c>
      <c r="C12" t="str" cm="1">
        <f t="array" ref="C12">INDEX(_xlfn.SORTBY(tblConstantsAudit[Suggested named assumption],tblConstantsAudit[Cells using],-1),A12)</f>
        <v>fixed_opex_monthly</v>
      </c>
      <c r="D12" cm="1">
        <f t="array" ref="D12">INDEX(_xlfn.SORTBY(tblConstantsAudit[Cells using],tblConstantsAudit[Cells using],-1),A12)</f>
        <v>37</v>
      </c>
    </row>
    <row r="13" spans="1:10" x14ac:dyDescent="0.35">
      <c r="A13">
        <v>3</v>
      </c>
      <c r="B13" s="26" cm="1">
        <f t="array" ref="B13">INDEX(_xlfn.SORTBY(tblConstantsAudit[Detected constant],tblConstantsAudit[Cells using],-1),A13)</f>
        <v>0.18</v>
      </c>
      <c r="C13" t="str" cm="1">
        <f t="array" ref="C13">INDEX(_xlfn.SORTBY(tblConstantsAudit[Suggested named assumption],tblConstantsAudit[Cells using],-1),A13)</f>
        <v>opex_pct</v>
      </c>
      <c r="D13" cm="1">
        <f t="array" ref="D13">INDEX(_xlfn.SORTBY(tblConstantsAudit[Cells using],tblConstantsAudit[Cells using],-1),A13)</f>
        <v>37</v>
      </c>
    </row>
    <row r="14" spans="1:10" x14ac:dyDescent="0.35">
      <c r="A14" s="4" t="str">
        <f>COUNTIF(tblConstantsAudit[Cells using],D11)&amp;" constants are tied at "&amp;D11&amp;" uses; ties are shown in table order."</f>
        <v>6 constants are tied at 37 uses; ties are shown in table order.</v>
      </c>
    </row>
    <row r="15" spans="1:10" ht="15.5" x14ac:dyDescent="0.35">
      <c r="A15" s="5" t="s">
        <v>122</v>
      </c>
    </row>
    <row r="16" spans="1:10" ht="15" customHeight="1" x14ac:dyDescent="0.35">
      <c r="A16" s="19" t="s">
        <v>123</v>
      </c>
      <c r="B16" s="19" t="s">
        <v>124</v>
      </c>
      <c r="C16" s="19" t="s">
        <v>125</v>
      </c>
      <c r="D16" s="19" t="s">
        <v>126</v>
      </c>
      <c r="E16" s="19" t="s">
        <v>127</v>
      </c>
      <c r="F16" s="19" t="s">
        <v>128</v>
      </c>
      <c r="G16" s="19" t="s">
        <v>129</v>
      </c>
      <c r="H16" s="19" t="s">
        <v>130</v>
      </c>
      <c r="I16" s="19" t="s">
        <v>131</v>
      </c>
      <c r="J16" s="19" t="s">
        <v>132</v>
      </c>
    </row>
    <row r="17" spans="1:10" ht="15" customHeight="1" x14ac:dyDescent="0.35">
      <c r="A17" s="19" t="s">
        <v>133</v>
      </c>
      <c r="B17" s="19" t="s">
        <v>2</v>
      </c>
      <c r="C17" s="19" t="s">
        <v>134</v>
      </c>
      <c r="D17" s="20">
        <v>0.32</v>
      </c>
      <c r="E17" s="19" t="s">
        <v>21</v>
      </c>
      <c r="F17" s="19" t="s">
        <v>135</v>
      </c>
      <c r="G17" s="21">
        <f>Assumptions!$B$4</f>
        <v>0.32</v>
      </c>
      <c r="H17" s="22" t="str">
        <f ca="1">_xlfn.FORMULATEXT('P&amp;L'!C2)</f>
        <v>=[@revenue]*Assumptions!$B$4</v>
      </c>
      <c r="I17" s="19">
        <f>ROWS('P&amp;L'!C2:C38)</f>
        <v>37</v>
      </c>
      <c r="J17" s="19" t="s">
        <v>136</v>
      </c>
    </row>
    <row r="18" spans="1:10" ht="15" customHeight="1" x14ac:dyDescent="0.35">
      <c r="A18" s="19" t="s">
        <v>137</v>
      </c>
      <c r="B18" s="19" t="s">
        <v>4</v>
      </c>
      <c r="C18" s="19" t="s">
        <v>138</v>
      </c>
      <c r="D18" s="23">
        <v>6000</v>
      </c>
      <c r="E18" s="19" t="s">
        <v>108</v>
      </c>
      <c r="F18" s="19" t="s">
        <v>139</v>
      </c>
      <c r="G18" s="24">
        <f>Assumptions!$B$8</f>
        <v>6000</v>
      </c>
      <c r="H18" s="22" t="str">
        <f ca="1">_xlfn.FORMULATEXT('P&amp;L'!E2)</f>
        <v>=Assumptions!$B$8+[@revenue]*Assumptions!$B$5</v>
      </c>
      <c r="I18" s="19">
        <f>ROWS('P&amp;L'!E2:E38)</f>
        <v>37</v>
      </c>
      <c r="J18" s="19" t="s">
        <v>140</v>
      </c>
    </row>
    <row r="19" spans="1:10" ht="15" customHeight="1" x14ac:dyDescent="0.35">
      <c r="A19" s="19" t="s">
        <v>137</v>
      </c>
      <c r="B19" s="19" t="s">
        <v>4</v>
      </c>
      <c r="C19" s="19" t="s">
        <v>138</v>
      </c>
      <c r="D19" s="20">
        <v>0.18</v>
      </c>
      <c r="E19" s="19" t="s">
        <v>23</v>
      </c>
      <c r="F19" s="19" t="s">
        <v>141</v>
      </c>
      <c r="G19" s="21">
        <f>Assumptions!$B$5</f>
        <v>0.18</v>
      </c>
      <c r="H19" s="22" t="str">
        <f ca="1">_xlfn.FORMULATEXT('P&amp;L'!E2)</f>
        <v>=Assumptions!$B$8+[@revenue]*Assumptions!$B$5</v>
      </c>
      <c r="I19" s="19">
        <f>ROWS('P&amp;L'!E2:E38)</f>
        <v>37</v>
      </c>
      <c r="J19" s="19" t="s">
        <v>142</v>
      </c>
    </row>
    <row r="20" spans="1:10" ht="15" customHeight="1" x14ac:dyDescent="0.35">
      <c r="A20" s="19" t="s">
        <v>143</v>
      </c>
      <c r="B20" s="19" t="s">
        <v>6</v>
      </c>
      <c r="C20" s="19" t="s">
        <v>144</v>
      </c>
      <c r="D20" s="23">
        <v>1500</v>
      </c>
      <c r="E20" s="19" t="s">
        <v>110</v>
      </c>
      <c r="F20" s="19" t="s">
        <v>145</v>
      </c>
      <c r="G20" s="24">
        <f>Assumptions!$B$9</f>
        <v>1500</v>
      </c>
      <c r="H20" s="22" t="str">
        <f ca="1">_xlfn.FORMULATEXT('P&amp;L'!G2)</f>
        <v>=Assumptions!$B$9</v>
      </c>
      <c r="I20" s="19">
        <f>COUNTIF('P&amp;L_original'!G2:G38,D20)</f>
        <v>37</v>
      </c>
      <c r="J20" s="19" t="s">
        <v>146</v>
      </c>
    </row>
    <row r="21" spans="1:10" ht="15" customHeight="1" x14ac:dyDescent="0.35">
      <c r="A21" s="19" t="s">
        <v>147</v>
      </c>
      <c r="B21" s="19" t="s">
        <v>7</v>
      </c>
      <c r="C21" s="19" t="s">
        <v>148</v>
      </c>
      <c r="D21" s="23">
        <v>900</v>
      </c>
      <c r="E21" s="19" t="s">
        <v>112</v>
      </c>
      <c r="F21" s="19" t="s">
        <v>149</v>
      </c>
      <c r="G21" s="24">
        <f>Assumptions!$B$10</f>
        <v>900</v>
      </c>
      <c r="H21" s="22" t="str">
        <f ca="1">_xlfn.FORMULATEXT('P&amp;L'!H2)</f>
        <v>=Assumptions!$B$10</v>
      </c>
      <c r="I21" s="19">
        <f>COUNTIF('P&amp;L_original'!H2:H38,D21)</f>
        <v>37</v>
      </c>
      <c r="J21" s="19" t="s">
        <v>146</v>
      </c>
    </row>
    <row r="22" spans="1:10" ht="15" customHeight="1" x14ac:dyDescent="0.35">
      <c r="A22" s="19" t="s">
        <v>207</v>
      </c>
      <c r="B22" s="19" t="s">
        <v>8</v>
      </c>
      <c r="C22" s="19" t="s">
        <v>151</v>
      </c>
      <c r="D22" s="20">
        <v>0.25</v>
      </c>
      <c r="E22" s="19" t="s">
        <v>25</v>
      </c>
      <c r="F22" s="19" t="s">
        <v>152</v>
      </c>
      <c r="G22" s="21">
        <f>Assumptions!$B$6</f>
        <v>0.25</v>
      </c>
      <c r="H22" s="22" t="str">
        <f ca="1">_xlfn.FORMULATEXT('P&amp;L'!J2)</f>
        <v>=[@[cash_tax]]+[@[deferred_tax]]</v>
      </c>
      <c r="I22" s="19">
        <f>ROWS('P&amp;L'!J2:J38)</f>
        <v>37</v>
      </c>
      <c r="J22" s="19" t="s">
        <v>215</v>
      </c>
    </row>
    <row r="23" spans="1:10" ht="15" customHeight="1" x14ac:dyDescent="0.35">
      <c r="A23" s="19" t="s">
        <v>208</v>
      </c>
      <c r="B23" s="19" t="s">
        <v>10</v>
      </c>
      <c r="C23" s="19" t="s">
        <v>153</v>
      </c>
      <c r="D23" s="23">
        <v>18000</v>
      </c>
      <c r="E23" s="19" t="s">
        <v>114</v>
      </c>
      <c r="F23" s="19" t="s">
        <v>154</v>
      </c>
      <c r="G23" s="24">
        <f>Assumptions!$B$11</f>
        <v>18000</v>
      </c>
      <c r="H23" s="22" t="str">
        <f ca="1">_xlfn.FORMULATEXT('P&amp;L'!L2)</f>
        <v>=IF(MONTH([@date])=1,Assumptions!$B$11,Assumptions!$B$12)</v>
      </c>
      <c r="I23" s="19">
        <f>COUNTIF('P&amp;L_original'!K2:K38,D23)</f>
        <v>4</v>
      </c>
      <c r="J23" s="19" t="s">
        <v>155</v>
      </c>
    </row>
    <row r="24" spans="1:10" ht="15" customHeight="1" x14ac:dyDescent="0.35">
      <c r="A24" s="19" t="s">
        <v>209</v>
      </c>
      <c r="B24" s="19" t="s">
        <v>10</v>
      </c>
      <c r="C24" s="19" t="s">
        <v>156</v>
      </c>
      <c r="D24" s="23">
        <v>3500</v>
      </c>
      <c r="E24" s="19" t="s">
        <v>116</v>
      </c>
      <c r="F24" s="19" t="s">
        <v>157</v>
      </c>
      <c r="G24" s="24">
        <f>Assumptions!$B$12</f>
        <v>3500</v>
      </c>
      <c r="H24" s="22" t="str">
        <f ca="1">_xlfn.FORMULATEXT('P&amp;L'!L3)</f>
        <v>=IF(MONTH([@date])=1,Assumptions!$B$11,Assumptions!$B$12)</v>
      </c>
      <c r="I24" s="19">
        <f>COUNTIF('P&amp;L_original'!K2:K38,D24)</f>
        <v>33</v>
      </c>
      <c r="J24" s="19" t="s">
        <v>146</v>
      </c>
    </row>
    <row r="25" spans="1:10" ht="15" customHeight="1" x14ac:dyDescent="0.35">
      <c r="A25" s="19" t="s">
        <v>210</v>
      </c>
      <c r="B25" s="19" t="s">
        <v>13</v>
      </c>
      <c r="C25" s="19" t="s">
        <v>158</v>
      </c>
      <c r="D25" s="23">
        <v>100000</v>
      </c>
      <c r="E25" s="19" t="s">
        <v>13</v>
      </c>
      <c r="F25" s="19" t="s">
        <v>159</v>
      </c>
      <c r="G25" s="24">
        <f>Assumptions!$B$13</f>
        <v>100000</v>
      </c>
      <c r="H25" s="22" t="str">
        <f ca="1">_xlfn.FORMULATEXT('P&amp;L'!O2)</f>
        <v>=Assumptions!$B$13</v>
      </c>
      <c r="I25" s="19">
        <f>COUNTIF('P&amp;L_original'!N2,D25)</f>
        <v>1</v>
      </c>
      <c r="J25" s="19" t="s">
        <v>146</v>
      </c>
    </row>
    <row r="26" spans="1:10" ht="15" customHeight="1" x14ac:dyDescent="0.35">
      <c r="A26" s="19" t="s">
        <v>160</v>
      </c>
      <c r="B26" s="19" t="s">
        <v>3</v>
      </c>
      <c r="C26" s="19" t="s">
        <v>161</v>
      </c>
      <c r="D26" s="19"/>
      <c r="E26" s="19" t="s">
        <v>162</v>
      </c>
      <c r="F26" s="19"/>
      <c r="G26" s="19"/>
      <c r="H26" s="22" t="str">
        <f ca="1">_xlfn.FORMULATEXT('P&amp;L'!D2)</f>
        <v>=[@revenue]-[@cogs]</v>
      </c>
      <c r="I26" s="19"/>
      <c r="J26" s="19" t="s">
        <v>163</v>
      </c>
    </row>
    <row r="27" spans="1:10" ht="15" customHeight="1" x14ac:dyDescent="0.35">
      <c r="A27" s="19" t="s">
        <v>164</v>
      </c>
      <c r="B27" s="19" t="s">
        <v>5</v>
      </c>
      <c r="C27" s="19" t="s">
        <v>161</v>
      </c>
      <c r="D27" s="19"/>
      <c r="E27" s="19" t="s">
        <v>162</v>
      </c>
      <c r="F27" s="19"/>
      <c r="G27" s="19"/>
      <c r="H27" s="22" t="str">
        <f ca="1">_xlfn.FORMULATEXT('P&amp;L'!F2)</f>
        <v>=[@[gross_profit]]-[@opex]</v>
      </c>
      <c r="I27" s="19"/>
      <c r="J27" s="19" t="s">
        <v>163</v>
      </c>
    </row>
    <row r="28" spans="1:10" ht="15" customHeight="1" x14ac:dyDescent="0.35">
      <c r="A28" s="19" t="s">
        <v>211</v>
      </c>
      <c r="B28" s="19" t="s">
        <v>9</v>
      </c>
      <c r="C28" s="19" t="s">
        <v>161</v>
      </c>
      <c r="D28" s="19"/>
      <c r="E28" s="19" t="s">
        <v>162</v>
      </c>
      <c r="F28" s="19"/>
      <c r="G28" s="19"/>
      <c r="H28" s="22" t="str">
        <f ca="1">_xlfn.FORMULATEXT('P&amp;L'!K2)</f>
        <v>=[@[pre_tax_profit]]-[@tax]</v>
      </c>
      <c r="I28" s="19"/>
      <c r="J28" s="19" t="s">
        <v>216</v>
      </c>
    </row>
    <row r="29" spans="1:10" ht="15" customHeight="1" x14ac:dyDescent="0.35">
      <c r="A29" s="19" t="s">
        <v>212</v>
      </c>
      <c r="B29" s="19" t="s">
        <v>11</v>
      </c>
      <c r="C29" s="19" t="s">
        <v>166</v>
      </c>
      <c r="D29" s="19"/>
      <c r="E29" s="19" t="s">
        <v>162</v>
      </c>
      <c r="F29" s="19"/>
      <c r="G29" s="19"/>
      <c r="H29" s="22" t="str">
        <f ca="1">_xlfn.FORMULATEXT('P&amp;L'!M2)</f>
        <v>=[@[net_income]]+[@depreciation]-[@capex]+[@[deferred_tax]]</v>
      </c>
      <c r="I29" s="19"/>
      <c r="J29" s="19" t="s">
        <v>217</v>
      </c>
    </row>
    <row r="30" spans="1:10" ht="15" customHeight="1" x14ac:dyDescent="0.35">
      <c r="A30" s="19" t="s">
        <v>213</v>
      </c>
      <c r="B30" s="19" t="s">
        <v>12</v>
      </c>
      <c r="C30" s="19" t="s">
        <v>161</v>
      </c>
      <c r="D30" s="19"/>
      <c r="E30" s="19" t="s">
        <v>162</v>
      </c>
      <c r="F30" s="19"/>
      <c r="G30" s="19"/>
      <c r="H30" s="22" t="str">
        <f ca="1">_xlfn.FORMULATEXT('P&amp;L'!N2)</f>
        <v>=[@[opening_cash]]+[@[cash_flow]]</v>
      </c>
      <c r="I30" s="19"/>
      <c r="J30" s="19" t="s">
        <v>168</v>
      </c>
    </row>
    <row r="31" spans="1:10" ht="15" customHeight="1" x14ac:dyDescent="0.35">
      <c r="A31" s="19" t="s">
        <v>214</v>
      </c>
      <c r="B31" s="19" t="s">
        <v>13</v>
      </c>
      <c r="C31" s="19" t="s">
        <v>169</v>
      </c>
      <c r="D31" s="19"/>
      <c r="E31" s="19" t="s">
        <v>162</v>
      </c>
      <c r="F31" s="19"/>
      <c r="G31" s="19"/>
      <c r="H31" s="22" t="str">
        <f ca="1">_xlfn.FORMULATEXT('P&amp;L'!O3)</f>
        <v>=N2</v>
      </c>
      <c r="I31" s="19"/>
      <c r="J31" s="19" t="s">
        <v>170</v>
      </c>
    </row>
    <row r="32" spans="1:10" ht="15" customHeight="1" x14ac:dyDescent="0.35">
      <c r="A32" s="19" t="s">
        <v>150</v>
      </c>
      <c r="B32" s="19" t="s">
        <v>202</v>
      </c>
      <c r="C32" s="19" t="s">
        <v>218</v>
      </c>
      <c r="D32" s="19"/>
      <c r="E32" s="19" t="s">
        <v>162</v>
      </c>
      <c r="F32" s="19"/>
      <c r="G32" s="19"/>
      <c r="H32" s="22" t="str">
        <f ca="1">_xlfn.FORMULATEXT('P&amp;L'!I2)</f>
        <v>=[@ebitda]-[@depreciation]-[@interest]</v>
      </c>
      <c r="I32" s="19"/>
      <c r="J32" s="19" t="s">
        <v>219</v>
      </c>
    </row>
    <row r="33" spans="1:10" ht="15" customHeight="1" x14ac:dyDescent="0.35">
      <c r="A33" s="19" t="s">
        <v>220</v>
      </c>
      <c r="B33" s="19" t="s">
        <v>203</v>
      </c>
      <c r="C33" s="19" t="s">
        <v>218</v>
      </c>
      <c r="D33" s="19"/>
      <c r="E33" s="19" t="s">
        <v>200</v>
      </c>
      <c r="F33" s="19" t="s">
        <v>221</v>
      </c>
      <c r="G33" s="24">
        <f>Assumptions!$B$14</f>
        <v>0</v>
      </c>
      <c r="H33" s="22" t="str">
        <f ca="1">_xlfn.FORMULATEXT('P&amp;L'!P3)</f>
        <v>=MAX(0,P2-[@[pre_tax_profit]])</v>
      </c>
      <c r="I33" s="19"/>
      <c r="J33" s="19" t="s">
        <v>222</v>
      </c>
    </row>
    <row r="34" spans="1:10" ht="15" customHeight="1" x14ac:dyDescent="0.35">
      <c r="A34" s="19" t="s">
        <v>223</v>
      </c>
      <c r="B34" s="19" t="s">
        <v>204</v>
      </c>
      <c r="C34" s="19" t="s">
        <v>218</v>
      </c>
      <c r="D34" s="19"/>
      <c r="E34" s="19" t="s">
        <v>25</v>
      </c>
      <c r="F34" s="19" t="s">
        <v>152</v>
      </c>
      <c r="G34" s="21">
        <f>Assumptions!$B$6</f>
        <v>0.25</v>
      </c>
      <c r="H34" s="22" t="str">
        <f ca="1">_xlfn.FORMULATEXT('P&amp;L'!Q2)</f>
        <v>=[@[tax_loss_crfwd]]*Assumptions!$B$6</v>
      </c>
      <c r="I34" s="19"/>
      <c r="J34" s="19" t="s">
        <v>224</v>
      </c>
    </row>
    <row r="35" spans="1:10" ht="15" customHeight="1" x14ac:dyDescent="0.35">
      <c r="A35" s="19" t="s">
        <v>225</v>
      </c>
      <c r="B35" s="19" t="s">
        <v>205</v>
      </c>
      <c r="C35" s="19" t="s">
        <v>218</v>
      </c>
      <c r="D35" s="19"/>
      <c r="E35" s="19" t="s">
        <v>25</v>
      </c>
      <c r="F35" s="19" t="s">
        <v>152</v>
      </c>
      <c r="G35" s="21">
        <f>Assumptions!$B$6</f>
        <v>0.25</v>
      </c>
      <c r="H35" s="22" t="str">
        <f ca="1">_xlfn.FORMULATEXT('P&amp;L'!R3)</f>
        <v>=MAX(0,[@[pre_tax_profit]]-P2)*Assumptions!$B$6</v>
      </c>
      <c r="I35" s="19"/>
      <c r="J35" s="19" t="s">
        <v>226</v>
      </c>
    </row>
    <row r="36" spans="1:10" ht="15" customHeight="1" x14ac:dyDescent="0.35">
      <c r="A36" s="19" t="s">
        <v>227</v>
      </c>
      <c r="B36" s="19" t="s">
        <v>206</v>
      </c>
      <c r="C36" s="19" t="s">
        <v>218</v>
      </c>
      <c r="D36" s="19"/>
      <c r="E36" s="19" t="s">
        <v>162</v>
      </c>
      <c r="F36" s="19"/>
      <c r="G36" s="19"/>
      <c r="H36" s="22" t="str">
        <f ca="1">_xlfn.FORMULATEXT('P&amp;L'!S3)</f>
        <v>=Q2-[@dta]</v>
      </c>
      <c r="I36" s="19"/>
      <c r="J36" s="19" t="s">
        <v>228</v>
      </c>
    </row>
    <row r="37" spans="1:10" ht="15" customHeight="1" x14ac:dyDescent="0.35"/>
    <row r="38" spans="1:10" ht="15" customHeight="1" x14ac:dyDescent="0.35">
      <c r="A38" s="5" t="s">
        <v>180</v>
      </c>
    </row>
    <row r="39" spans="1:10" ht="15" customHeight="1" x14ac:dyDescent="0.35">
      <c r="A39" s="25" t="s">
        <v>181</v>
      </c>
      <c r="B39" s="25" t="s">
        <v>183</v>
      </c>
      <c r="C39" s="25" t="s">
        <v>182</v>
      </c>
      <c r="D39" s="25" t="s">
        <v>184</v>
      </c>
      <c r="E39" s="25" t="s">
        <v>185</v>
      </c>
      <c r="F39" s="25" t="s">
        <v>186</v>
      </c>
      <c r="G39" s="25" t="s">
        <v>90</v>
      </c>
    </row>
    <row r="40" spans="1:10" ht="15" customHeight="1" x14ac:dyDescent="0.35">
      <c r="A40" s="27" t="s">
        <v>187</v>
      </c>
      <c r="B40" s="27" t="s">
        <v>207</v>
      </c>
      <c r="C40" s="27" t="s">
        <v>249</v>
      </c>
      <c r="D40" s="27" cm="1">
        <f t="array" ref="D40">SUMPRODUCT(--(ABS('P&amp;L'!J2:J38-'P&amp;L_original'!I2:I38)&gt;0.011))</f>
        <v>30</v>
      </c>
      <c r="E40" s="17">
        <f>SUM('P&amp;L_original'!I2:I38)</f>
        <v>-28429.95</v>
      </c>
      <c r="F40" s="17">
        <f>SUM('P&amp;L'!J2:J38)</f>
        <v>-22974.698749999996</v>
      </c>
      <c r="G40" s="16">
        <f t="shared" ref="G40:G47" si="0">F40-E40</f>
        <v>5455.2512500000048</v>
      </c>
    </row>
    <row r="41" spans="1:10" ht="15" customHeight="1" x14ac:dyDescent="0.35">
      <c r="A41" s="27" t="s">
        <v>188</v>
      </c>
      <c r="B41" s="27" t="s">
        <v>211</v>
      </c>
      <c r="C41" s="27" t="s">
        <v>189</v>
      </c>
      <c r="D41" s="27" cm="1">
        <f t="array" ref="D41">SUMPRODUCT(--(ABS('P&amp;L'!K2:K38-'P&amp;L_original'!J2:J38)&gt;0.011))</f>
        <v>32</v>
      </c>
      <c r="E41" s="17">
        <f>SUM('P&amp;L_original'!J2:J38)</f>
        <v>-86272.210000000036</v>
      </c>
      <c r="F41" s="17">
        <f>SUM('P&amp;L'!K2:K38)</f>
        <v>-68924.096250000002</v>
      </c>
      <c r="G41" s="16">
        <f t="shared" si="0"/>
        <v>17348.113750000033</v>
      </c>
    </row>
    <row r="42" spans="1:10" x14ac:dyDescent="0.35">
      <c r="A42" s="27" t="s">
        <v>190</v>
      </c>
      <c r="B42" s="27" t="s">
        <v>137</v>
      </c>
      <c r="C42" s="27" t="s">
        <v>191</v>
      </c>
      <c r="D42" s="27" cm="1">
        <f t="array" ref="D42">SUMPRODUCT(--(ABS('P&amp;L'!E2:E38-'P&amp;L_original'!E2:E38)&gt;0.011))</f>
        <v>5</v>
      </c>
      <c r="E42" s="17">
        <f>SUM('P&amp;L_original'!E2:E38)</f>
        <v>301114.48</v>
      </c>
      <c r="F42" s="17">
        <f>SUM('P&amp;L'!E2:E38)</f>
        <v>300804.43379999994</v>
      </c>
      <c r="G42" s="16">
        <f t="shared" si="0"/>
        <v>-310.0462000000407</v>
      </c>
    </row>
    <row r="43" spans="1:10" x14ac:dyDescent="0.35">
      <c r="A43" s="27" t="s">
        <v>192</v>
      </c>
      <c r="B43" s="27" t="s">
        <v>212</v>
      </c>
      <c r="C43" s="27" t="s">
        <v>248</v>
      </c>
      <c r="D43" s="27" cm="1">
        <f t="array" ref="D43">SUMPRODUCT(--(ABS('P&amp;L'!M2:M38-'P&amp;L_original'!L2:L38)&gt;0.011))</f>
        <v>37</v>
      </c>
      <c r="E43" s="17">
        <f>SUM('P&amp;L_original'!L2:L38)</f>
        <v>-256272.21</v>
      </c>
      <c r="F43" s="17">
        <f>SUM('P&amp;L'!M2:M38)</f>
        <v>-223898.79500000004</v>
      </c>
      <c r="G43" s="16">
        <f t="shared" si="0"/>
        <v>32373.41499999995</v>
      </c>
    </row>
    <row r="44" spans="1:10" x14ac:dyDescent="0.35">
      <c r="A44" s="27" t="s">
        <v>193</v>
      </c>
      <c r="B44" s="27" t="s">
        <v>213</v>
      </c>
      <c r="C44" s="27" t="s">
        <v>194</v>
      </c>
      <c r="D44" s="27" cm="1">
        <f t="array" ref="D44">SUMPRODUCT(--(ABS('P&amp;L'!N2:N38-'P&amp;L_original'!M2:M38)&gt;0.011))</f>
        <v>37</v>
      </c>
      <c r="E44" s="17">
        <f>SUM('P&amp;L_original'!M2:M38)</f>
        <v>-2246915.67</v>
      </c>
      <c r="F44" s="17">
        <f>SUM('P&amp;L'!N2:N38)</f>
        <v>-1840785.0849999993</v>
      </c>
      <c r="G44" s="16">
        <f t="shared" si="0"/>
        <v>406130.58500000066</v>
      </c>
    </row>
    <row r="45" spans="1:10" x14ac:dyDescent="0.35">
      <c r="A45" s="27" t="s">
        <v>195</v>
      </c>
      <c r="B45" s="27" t="s">
        <v>133</v>
      </c>
      <c r="C45" s="27" t="s">
        <v>196</v>
      </c>
      <c r="D45" s="27" cm="1">
        <f t="array" ref="D45">SUMPRODUCT(--(ABS('P&amp;L'!C2:C38-'P&amp;L_original'!C2:C38)&gt;0.011))</f>
        <v>2</v>
      </c>
      <c r="E45" s="17">
        <f>SUM('P&amp;L_original'!C2:C38)</f>
        <v>140096.75</v>
      </c>
      <c r="F45" s="17">
        <f>SUM('P&amp;L'!C2:C38)</f>
        <v>140096.77120000002</v>
      </c>
      <c r="G45" s="16">
        <f t="shared" si="0"/>
        <v>2.1200000017415732E-2</v>
      </c>
    </row>
    <row r="46" spans="1:10" x14ac:dyDescent="0.35">
      <c r="A46" s="27" t="s">
        <v>230</v>
      </c>
      <c r="B46" s="27" t="s">
        <v>165</v>
      </c>
      <c r="C46" s="27" t="s">
        <v>231</v>
      </c>
      <c r="D46" s="27" cm="1">
        <f t="array" ref="D46">SUMPRODUCT(--(ABS('P&amp;L'!J2:J38-'P&amp;L_original'!I2:I38)&gt;0.011))</f>
        <v>30</v>
      </c>
      <c r="E46" s="17">
        <f>SUM('P&amp;L_original'!I2:I38)</f>
        <v>-28429.95</v>
      </c>
      <c r="F46" s="17">
        <f>SUM('P&amp;L'!J2:J38)</f>
        <v>-22974.698749999996</v>
      </c>
      <c r="G46" s="16">
        <f t="shared" si="0"/>
        <v>5455.2512500000048</v>
      </c>
    </row>
    <row r="47" spans="1:10" x14ac:dyDescent="0.35">
      <c r="A47" s="27" t="s">
        <v>232</v>
      </c>
      <c r="B47" s="27" t="s">
        <v>233</v>
      </c>
      <c r="C47" s="27" t="s">
        <v>234</v>
      </c>
      <c r="D47" s="27" cm="1">
        <f t="array" ref="D47">SUMPRODUCT(--(ABS('P&amp;L'!K2:K38-'P&amp;L_original'!J2:J38)&gt;0.011))</f>
        <v>32</v>
      </c>
      <c r="E47" s="17">
        <f>SUM('P&amp;L_original'!J2:J38)</f>
        <v>-86272.210000000036</v>
      </c>
      <c r="F47" s="17">
        <f>SUM('P&amp;L'!K2:K38)</f>
        <v>-68924.096250000002</v>
      </c>
      <c r="G47" s="16">
        <f t="shared" si="0"/>
        <v>17348.113750000033</v>
      </c>
    </row>
    <row r="48" spans="1:10" x14ac:dyDescent="0.35">
      <c r="A48" s="27" t="s">
        <v>235</v>
      </c>
      <c r="B48" s="27" t="s">
        <v>236</v>
      </c>
      <c r="C48" s="27" t="s">
        <v>237</v>
      </c>
      <c r="D48" s="27"/>
      <c r="E48" s="17"/>
      <c r="F48" s="17"/>
      <c r="G48" s="16"/>
    </row>
    <row r="49" spans="1:7" x14ac:dyDescent="0.35">
      <c r="A49" s="27" t="s">
        <v>238</v>
      </c>
      <c r="B49" s="27" t="s">
        <v>167</v>
      </c>
      <c r="C49" s="27" t="s">
        <v>239</v>
      </c>
      <c r="D49" s="27" cm="1">
        <f t="array" ref="D49">SUMPRODUCT(--(ABS('P&amp;L'!M2:M38-'P&amp;L_original'!L2:L38)&gt;0.011))</f>
        <v>37</v>
      </c>
      <c r="E49" s="17">
        <f>SUM('P&amp;L_original'!L2:L38)</f>
        <v>-256272.21</v>
      </c>
      <c r="F49" s="17">
        <f>SUM('P&amp;L'!M2:M38)</f>
        <v>-223898.79500000004</v>
      </c>
      <c r="G49" s="16">
        <f>F49-E49</f>
        <v>32373.41499999995</v>
      </c>
    </row>
    <row r="50" spans="1:7" x14ac:dyDescent="0.35">
      <c r="A50" s="27" t="s">
        <v>197</v>
      </c>
      <c r="B50" s="27" t="s">
        <v>229</v>
      </c>
      <c r="C50" s="27" t="s">
        <v>198</v>
      </c>
      <c r="D50" s="27"/>
      <c r="E50" s="17">
        <f>'P&amp;L_original'!M38</f>
        <v>-156272.21</v>
      </c>
      <c r="F50" s="17">
        <f>'P&amp;L'!N38</f>
        <v>-123898.79499999998</v>
      </c>
      <c r="G50" s="16">
        <f>F50-E50</f>
        <v>32373.415000000008</v>
      </c>
    </row>
    <row r="52" spans="1:7" ht="15.5" x14ac:dyDescent="0.35">
      <c r="A52" s="28" t="s">
        <v>240</v>
      </c>
    </row>
    <row r="53" spans="1:7" x14ac:dyDescent="0.35">
      <c r="A53" s="27" t="s">
        <v>241</v>
      </c>
      <c r="B53" s="29">
        <f>'P&amp;L'!P38</f>
        <v>91898.794999999984</v>
      </c>
    </row>
    <row r="54" spans="1:7" x14ac:dyDescent="0.35">
      <c r="A54" s="27" t="s">
        <v>242</v>
      </c>
      <c r="B54" s="30">
        <f>Assumptions!$B$6</f>
        <v>0.25</v>
      </c>
    </row>
    <row r="55" spans="1:7" x14ac:dyDescent="0.35">
      <c r="A55" s="27" t="s">
        <v>243</v>
      </c>
      <c r="B55" s="31">
        <f>B53*B54</f>
        <v>22974.698749999996</v>
      </c>
    </row>
    <row r="56" spans="1:7" x14ac:dyDescent="0.35">
      <c r="A56" s="27" t="s">
        <v>244</v>
      </c>
      <c r="B56" s="29">
        <f>'P&amp;L'!Q38</f>
        <v>22974.698749999996</v>
      </c>
    </row>
    <row r="57" spans="1:7" x14ac:dyDescent="0.35">
      <c r="A57" s="27" t="s">
        <v>90</v>
      </c>
      <c r="B57" s="31">
        <f>B56-B55</f>
        <v>0</v>
      </c>
    </row>
    <row r="58" spans="1:7" x14ac:dyDescent="0.35">
      <c r="A58" s="27" t="s">
        <v>245</v>
      </c>
      <c r="B58" s="32" t="str">
        <f>IF(ABS(B57)&lt;0.005,"OK","CHECK")</f>
        <v>OK</v>
      </c>
    </row>
    <row r="59" spans="1:7" x14ac:dyDescent="0.35">
      <c r="A59" s="27" t="s">
        <v>246</v>
      </c>
      <c r="B59" s="32" t="str" cm="1">
        <f t="array" ref="B59">IF(SUMPRODUCT(ABS('P&amp;L'!J2:J38-'P&amp;L'!R2:R38-'P&amp;L'!S2:S38))&lt;0.005,"OK","CHECK")</f>
        <v>OK</v>
      </c>
    </row>
    <row r="60" spans="1:7" x14ac:dyDescent="0.35">
      <c r="A60" s="27" t="s">
        <v>247</v>
      </c>
      <c r="B60" s="32" t="str" cm="1">
        <f t="array" ref="B60">IF(SUMPRODUCT(ABS('P&amp;L'!Q2:Q38-'P&amp;L'!P2:P38*Assumptions!$B$6))&lt;0.005,"OK","CHECK")</f>
        <v>OK</v>
      </c>
    </row>
    <row r="62" spans="1:7" x14ac:dyDescent="0.35">
      <c r="A62" s="4" t="s">
        <v>199</v>
      </c>
    </row>
    <row r="65" spans="1:6" ht="15.5" x14ac:dyDescent="0.35">
      <c r="A65" s="18" t="s">
        <v>119</v>
      </c>
    </row>
    <row r="67" spans="1:6" ht="15.5" x14ac:dyDescent="0.35">
      <c r="A67" s="5" t="s">
        <v>121</v>
      </c>
    </row>
    <row r="68" spans="1:6" x14ac:dyDescent="0.35">
      <c r="A68" t="s">
        <v>30</v>
      </c>
      <c r="B68" s="2">
        <f>ROWS('P&amp;L_original'!A2:N38)*COLUMNS('P&amp;L_original'!A2:N38)</f>
        <v>518</v>
      </c>
    </row>
    <row r="69" spans="1:6" x14ac:dyDescent="0.35">
      <c r="A69" t="s">
        <v>31</v>
      </c>
      <c r="B69" s="2" cm="1">
        <f t="array" ref="B69">SUMPRODUCT(--_xlfn.ISFORMULA('P&amp;L_original'!A2:N38))</f>
        <v>0</v>
      </c>
    </row>
    <row r="70" spans="1:6" ht="32.15" customHeight="1" x14ac:dyDescent="0.35">
      <c r="A70" t="s">
        <v>32</v>
      </c>
      <c r="B70" s="2">
        <f>IF(B69=0,0,"Re-run audit")</f>
        <v>0</v>
      </c>
    </row>
    <row r="71" spans="1:6" x14ac:dyDescent="0.35">
      <c r="A71" t="s">
        <v>33</v>
      </c>
      <c r="B71" t="s">
        <v>34</v>
      </c>
    </row>
    <row r="72" spans="1:6" x14ac:dyDescent="0.35">
      <c r="A72" s="11" t="s">
        <v>35</v>
      </c>
    </row>
    <row r="74" spans="1:6" ht="15.5" x14ac:dyDescent="0.35">
      <c r="A74" s="5" t="s">
        <v>36</v>
      </c>
    </row>
    <row r="75" spans="1:6" x14ac:dyDescent="0.35">
      <c r="A75" s="6" t="s">
        <v>37</v>
      </c>
      <c r="B75" s="6" t="s">
        <v>38</v>
      </c>
      <c r="C75" s="6" t="s">
        <v>39</v>
      </c>
      <c r="D75" s="6" t="s">
        <v>40</v>
      </c>
      <c r="E75" s="6" t="s">
        <v>41</v>
      </c>
      <c r="F75" s="6" t="s">
        <v>42</v>
      </c>
    </row>
    <row r="76" spans="1:6" x14ac:dyDescent="0.35">
      <c r="A76" t="s">
        <v>43</v>
      </c>
      <c r="B76" s="8" t="str">
        <f>'P&amp;L_original'!A1</f>
        <v>date</v>
      </c>
      <c r="C76">
        <f>COUNT('P&amp;L_original'!A2:A38)</f>
        <v>37</v>
      </c>
      <c r="D76" cm="1">
        <f t="array" ref="D76">SUMPRODUCT(--_xlfn.ISFORMULA('P&amp;L_original'!A2:A38))</f>
        <v>0</v>
      </c>
      <c r="E76" t="s">
        <v>44</v>
      </c>
    </row>
    <row r="77" spans="1:6" x14ac:dyDescent="0.35">
      <c r="A77" t="s">
        <v>45</v>
      </c>
      <c r="B77" s="8" t="str">
        <f>'P&amp;L_original'!B1</f>
        <v>revenue</v>
      </c>
      <c r="C77">
        <f>COUNT('P&amp;L_original'!B2:B38)</f>
        <v>37</v>
      </c>
      <c r="D77" cm="1">
        <f t="array" ref="D77">SUMPRODUCT(--_xlfn.ISFORMULA('P&amp;L_original'!B2:B38))</f>
        <v>0</v>
      </c>
      <c r="E77" t="s">
        <v>46</v>
      </c>
    </row>
    <row r="78" spans="1:6" x14ac:dyDescent="0.35">
      <c r="A78" t="s">
        <v>47</v>
      </c>
      <c r="B78" s="8" t="str">
        <f>'P&amp;L_original'!C1</f>
        <v>cogs</v>
      </c>
      <c r="C78">
        <f>COUNT('P&amp;L_original'!C2:C38)</f>
        <v>37</v>
      </c>
      <c r="D78" cm="1">
        <f t="array" ref="D78">SUMPRODUCT(--_xlfn.ISFORMULA('P&amp;L_original'!C2:C38))</f>
        <v>0</v>
      </c>
      <c r="E78" t="s">
        <v>48</v>
      </c>
      <c r="F78" t="s">
        <v>49</v>
      </c>
    </row>
    <row r="79" spans="1:6" x14ac:dyDescent="0.35">
      <c r="A79" t="s">
        <v>50</v>
      </c>
      <c r="B79" s="8" t="str">
        <f>'P&amp;L_original'!D1</f>
        <v>gross_profit</v>
      </c>
      <c r="C79">
        <f>COUNT('P&amp;L_original'!D2:D38)</f>
        <v>37</v>
      </c>
      <c r="D79" cm="1">
        <f t="array" ref="D79">SUMPRODUCT(--_xlfn.ISFORMULA('P&amp;L_original'!D2:D38))</f>
        <v>0</v>
      </c>
      <c r="E79" t="s">
        <v>51</v>
      </c>
    </row>
    <row r="80" spans="1:6" x14ac:dyDescent="0.35">
      <c r="A80" t="s">
        <v>52</v>
      </c>
      <c r="B80" s="8" t="str">
        <f>'P&amp;L_original'!E1</f>
        <v>opex</v>
      </c>
      <c r="C80">
        <f>COUNT('P&amp;L_original'!E2:E38)</f>
        <v>37</v>
      </c>
      <c r="D80" cm="1">
        <f t="array" ref="D80">SUMPRODUCT(--_xlfn.ISFORMULA('P&amp;L_original'!E2:E38))</f>
        <v>0</v>
      </c>
      <c r="E80" t="s">
        <v>53</v>
      </c>
      <c r="F80" t="s">
        <v>54</v>
      </c>
    </row>
    <row r="81" spans="1:6" x14ac:dyDescent="0.35">
      <c r="A81" t="s">
        <v>55</v>
      </c>
      <c r="B81" s="8" t="str">
        <f>'P&amp;L_original'!F1</f>
        <v>ebitda</v>
      </c>
      <c r="C81">
        <f>COUNT('P&amp;L_original'!F2:F38)</f>
        <v>37</v>
      </c>
      <c r="D81" cm="1">
        <f t="array" ref="D81">SUMPRODUCT(--_xlfn.ISFORMULA('P&amp;L_original'!F2:F38))</f>
        <v>0</v>
      </c>
      <c r="E81" t="s">
        <v>56</v>
      </c>
    </row>
    <row r="82" spans="1:6" x14ac:dyDescent="0.35">
      <c r="A82" t="s">
        <v>57</v>
      </c>
      <c r="B82" s="8" t="str">
        <f>'P&amp;L_original'!G1</f>
        <v>depreciation</v>
      </c>
      <c r="C82">
        <f>COUNT('P&amp;L_original'!G2:G38)</f>
        <v>37</v>
      </c>
      <c r="D82" cm="1">
        <f t="array" ref="D82">SUMPRODUCT(--_xlfn.ISFORMULA('P&amp;L_original'!G2:G38))</f>
        <v>0</v>
      </c>
      <c r="E82" t="s">
        <v>58</v>
      </c>
      <c r="F82" t="s">
        <v>59</v>
      </c>
    </row>
    <row r="83" spans="1:6" x14ac:dyDescent="0.35">
      <c r="A83" t="s">
        <v>60</v>
      </c>
      <c r="B83" s="8" t="str">
        <f>'P&amp;L_original'!H1</f>
        <v>interest</v>
      </c>
      <c r="C83">
        <f>COUNT('P&amp;L_original'!H2:H38)</f>
        <v>37</v>
      </c>
      <c r="D83" cm="1">
        <f t="array" ref="D83">SUMPRODUCT(--_xlfn.ISFORMULA('P&amp;L_original'!H2:H38))</f>
        <v>0</v>
      </c>
      <c r="E83" t="s">
        <v>61</v>
      </c>
      <c r="F83" t="s">
        <v>59</v>
      </c>
    </row>
    <row r="84" spans="1:6" x14ac:dyDescent="0.35">
      <c r="A84" t="s">
        <v>62</v>
      </c>
      <c r="B84" s="8" t="str">
        <f>'P&amp;L_original'!I1</f>
        <v>tax</v>
      </c>
      <c r="C84">
        <f>COUNT('P&amp;L_original'!I2:I38)</f>
        <v>37</v>
      </c>
      <c r="D84" cm="1">
        <f t="array" ref="D84">SUMPRODUCT(--_xlfn.ISFORMULA('P&amp;L_original'!I2:I38))</f>
        <v>0</v>
      </c>
      <c r="E84" t="s">
        <v>95</v>
      </c>
      <c r="F84" t="s">
        <v>63</v>
      </c>
    </row>
    <row r="85" spans="1:6" x14ac:dyDescent="0.35">
      <c r="A85" t="s">
        <v>64</v>
      </c>
      <c r="B85" s="8" t="str">
        <f>'P&amp;L_original'!J1</f>
        <v>net_income</v>
      </c>
      <c r="C85">
        <f>COUNT('P&amp;L_original'!J2:J38)</f>
        <v>37</v>
      </c>
      <c r="D85" cm="1">
        <f t="array" ref="D85">SUMPRODUCT(--_xlfn.ISFORMULA('P&amp;L_original'!J2:J38))</f>
        <v>0</v>
      </c>
      <c r="E85" t="s">
        <v>96</v>
      </c>
    </row>
    <row r="86" spans="1:6" x14ac:dyDescent="0.35">
      <c r="A86" t="s">
        <v>65</v>
      </c>
      <c r="B86" s="8" t="str">
        <f>'P&amp;L_original'!K1</f>
        <v>capex</v>
      </c>
      <c r="C86">
        <f>COUNT('P&amp;L_original'!K2:K38)</f>
        <v>37</v>
      </c>
      <c r="D86" cm="1">
        <f t="array" ref="D86">SUMPRODUCT(--_xlfn.ISFORMULA('P&amp;L_original'!K2:K38))</f>
        <v>0</v>
      </c>
      <c r="E86" t="s">
        <v>66</v>
      </c>
      <c r="F86" t="s">
        <v>59</v>
      </c>
    </row>
    <row r="87" spans="1:6" x14ac:dyDescent="0.35">
      <c r="A87" t="s">
        <v>67</v>
      </c>
      <c r="B87" s="8" t="str">
        <f>'P&amp;L_original'!L1</f>
        <v>cash_flow</v>
      </c>
      <c r="C87">
        <f>COUNT('P&amp;L_original'!L2:L38)</f>
        <v>37</v>
      </c>
      <c r="D87" cm="1">
        <f t="array" ref="D87">SUMPRODUCT(--_xlfn.ISFORMULA('P&amp;L_original'!L2:L38))</f>
        <v>0</v>
      </c>
      <c r="E87" t="s">
        <v>97</v>
      </c>
    </row>
    <row r="88" spans="1:6" x14ac:dyDescent="0.35">
      <c r="A88" t="s">
        <v>68</v>
      </c>
      <c r="B88" s="8" t="str">
        <f>'P&amp;L_original'!M1</f>
        <v>closing_cash</v>
      </c>
      <c r="C88">
        <f>COUNT('P&amp;L_original'!M2:M38)</f>
        <v>37</v>
      </c>
      <c r="D88" cm="1">
        <f t="array" ref="D88">SUMPRODUCT(--_xlfn.ISFORMULA('P&amp;L_original'!M2:M38))</f>
        <v>0</v>
      </c>
      <c r="E88" t="s">
        <v>69</v>
      </c>
    </row>
    <row r="89" spans="1:6" x14ac:dyDescent="0.35">
      <c r="A89" t="s">
        <v>70</v>
      </c>
      <c r="B89" s="8" t="str">
        <f>'P&amp;L_original'!N1</f>
        <v>opening_cash</v>
      </c>
      <c r="C89">
        <f>COUNT('P&amp;L_original'!N2:N38)</f>
        <v>37</v>
      </c>
      <c r="D89" cm="1">
        <f t="array" ref="D89">SUMPRODUCT(--_xlfn.ISFORMULA('P&amp;L_original'!N2:N38))</f>
        <v>0</v>
      </c>
      <c r="E89" t="s">
        <v>71</v>
      </c>
      <c r="F89" t="s">
        <v>72</v>
      </c>
    </row>
    <row r="90" spans="1:6" x14ac:dyDescent="0.35">
      <c r="A90" s="7" t="s">
        <v>73</v>
      </c>
      <c r="B90" s="7"/>
      <c r="C90" s="7">
        <f>SUM(C76:C89)</f>
        <v>518</v>
      </c>
      <c r="D90" s="7">
        <f>SUM(D76:D89)</f>
        <v>0</v>
      </c>
      <c r="E90" s="7"/>
      <c r="F90" s="7"/>
    </row>
    <row r="92" spans="1:6" ht="15.5" x14ac:dyDescent="0.35">
      <c r="A92" s="5" t="s">
        <v>74</v>
      </c>
    </row>
    <row r="93" spans="1:6" x14ac:dyDescent="0.35">
      <c r="A93" s="6" t="s">
        <v>75</v>
      </c>
      <c r="B93" s="6" t="s">
        <v>76</v>
      </c>
      <c r="C93" s="6" t="s">
        <v>77</v>
      </c>
      <c r="D93" s="6" t="s">
        <v>98</v>
      </c>
    </row>
    <row r="94" spans="1:6" x14ac:dyDescent="0.35">
      <c r="A94" t="s">
        <v>78</v>
      </c>
      <c r="B94">
        <f>ROWS('P&amp;L_original'!C2:C38)</f>
        <v>37</v>
      </c>
      <c r="C94" cm="1">
        <f t="array" ref="C94">SUMPRODUCT(--(ABS('P&amp;L_original'!C2:C38-'P&amp;L_original'!B2:B38*Assumptions!$B$4)&gt;0.011))</f>
        <v>2</v>
      </c>
      <c r="D94" t="s">
        <v>99</v>
      </c>
    </row>
    <row r="95" spans="1:6" x14ac:dyDescent="0.35">
      <c r="A95" t="s">
        <v>79</v>
      </c>
      <c r="B95">
        <f>ROWS('P&amp;L_original'!D2:D38)</f>
        <v>37</v>
      </c>
      <c r="C95" cm="1">
        <f t="array" ref="C95">SUMPRODUCT(--(ABS('P&amp;L_original'!D2:D38-('P&amp;L_original'!B2:B38-'P&amp;L_original'!C2:C38))&gt;0.011))</f>
        <v>0</v>
      </c>
    </row>
    <row r="96" spans="1:6" x14ac:dyDescent="0.35">
      <c r="A96" t="s">
        <v>80</v>
      </c>
      <c r="B96">
        <f>ROWS('P&amp;L_original'!E2:E38)</f>
        <v>37</v>
      </c>
      <c r="C96" cm="1">
        <f t="array" ref="C96">SUMPRODUCT(--(ABS('P&amp;L_original'!E2:E38-(6000+'P&amp;L_original'!B2:B38*Assumptions!$B$5))&gt;0.011))</f>
        <v>5</v>
      </c>
      <c r="D96" t="s">
        <v>100</v>
      </c>
    </row>
    <row r="97" spans="1:6" x14ac:dyDescent="0.35">
      <c r="A97" t="s">
        <v>81</v>
      </c>
      <c r="B97">
        <f>ROWS('P&amp;L_original'!F2:F38)</f>
        <v>37</v>
      </c>
      <c r="C97" cm="1">
        <f t="array" ref="C97">SUMPRODUCT(--(ABS('P&amp;L_original'!F2:F38-('P&amp;L_original'!D2:D38-'P&amp;L_original'!E2:E38))&gt;0.011))</f>
        <v>0</v>
      </c>
    </row>
    <row r="98" spans="1:6" x14ac:dyDescent="0.35">
      <c r="A98" t="s">
        <v>82</v>
      </c>
      <c r="B98">
        <f>ROWS('P&amp;L_original'!I2:I38)</f>
        <v>37</v>
      </c>
      <c r="C98" cm="1">
        <f t="array" ref="C98">SUMPRODUCT(--(ABS('P&amp;L_original'!I2:I38-('P&amp;L_original'!F2:F38-'P&amp;L_original'!G2:G38-'P&amp;L_original'!H2:H38)*Assumptions!$B$6)&gt;0.011))</f>
        <v>29</v>
      </c>
      <c r="D98" t="s">
        <v>101</v>
      </c>
    </row>
    <row r="99" spans="1:6" ht="32.15" customHeight="1" x14ac:dyDescent="0.35">
      <c r="A99" t="s">
        <v>83</v>
      </c>
      <c r="B99">
        <f>ROWS('P&amp;L_original'!J2:J38)</f>
        <v>37</v>
      </c>
      <c r="C99" cm="1">
        <f t="array" ref="C99">SUMPRODUCT(--(ABS('P&amp;L_original'!J2:J38-('P&amp;L_original'!F2:F38-'P&amp;L_original'!G2:G38-'P&amp;L_original'!H2:H38-'P&amp;L_original'!I2:I38))&gt;0.011))</f>
        <v>32</v>
      </c>
      <c r="D99" t="s">
        <v>102</v>
      </c>
    </row>
    <row r="100" spans="1:6" x14ac:dyDescent="0.35">
      <c r="A100" t="s">
        <v>84</v>
      </c>
      <c r="B100">
        <f>ROWS('P&amp;L_original'!L2:L38)</f>
        <v>37</v>
      </c>
      <c r="C100" cm="1">
        <f t="array" ref="C100">SUMPRODUCT(--(ABS('P&amp;L_original'!L2:L38-('P&amp;L_original'!J2:J38-'P&amp;L_original'!K2:K38))&gt;0.011))</f>
        <v>6</v>
      </c>
      <c r="D100" t="s">
        <v>103</v>
      </c>
    </row>
    <row r="101" spans="1:6" x14ac:dyDescent="0.35">
      <c r="A101" t="s">
        <v>85</v>
      </c>
      <c r="B101">
        <f>ROWS('P&amp;L_original'!M2:M38)</f>
        <v>37</v>
      </c>
      <c r="C101" cm="1">
        <f t="array" ref="C101">SUMPRODUCT(--(ABS('P&amp;L_original'!M2:M38-('P&amp;L_original'!N2:N38+'P&amp;L_original'!L2:L38))&gt;0.011))</f>
        <v>0</v>
      </c>
    </row>
    <row r="103" spans="1:6" ht="15.5" x14ac:dyDescent="0.35">
      <c r="A103" s="5" t="s">
        <v>86</v>
      </c>
    </row>
    <row r="104" spans="1:6" x14ac:dyDescent="0.35">
      <c r="A104" s="6" t="s">
        <v>87</v>
      </c>
      <c r="B104" s="6" t="s">
        <v>9</v>
      </c>
      <c r="C104" s="6" t="s">
        <v>10</v>
      </c>
      <c r="D104" s="6" t="s">
        <v>88</v>
      </c>
      <c r="E104" s="6" t="s">
        <v>89</v>
      </c>
      <c r="F104" s="6" t="s">
        <v>90</v>
      </c>
    </row>
    <row r="105" spans="1:6" x14ac:dyDescent="0.35">
      <c r="A105" t="s">
        <v>91</v>
      </c>
      <c r="B105" s="9">
        <f>'P&amp;L_original'!J32</f>
        <v>1092.42</v>
      </c>
      <c r="C105" s="9">
        <f>'P&amp;L_original'!K32</f>
        <v>3500</v>
      </c>
      <c r="D105" s="10">
        <f t="shared" ref="D105:D110" si="1">B105-C105</f>
        <v>-2407.58</v>
      </c>
      <c r="E105" s="9">
        <f>'P&amp;L_original'!L32</f>
        <v>592.41999999999996</v>
      </c>
      <c r="F105" s="10">
        <f t="shared" ref="F105:F110" si="2">E105-D105</f>
        <v>3000</v>
      </c>
    </row>
    <row r="106" spans="1:6" x14ac:dyDescent="0.35">
      <c r="A106" t="s">
        <v>104</v>
      </c>
      <c r="B106" s="9">
        <f>'P&amp;L_original'!J33</f>
        <v>814.91</v>
      </c>
      <c r="C106" s="9">
        <f>'P&amp;L_original'!K33</f>
        <v>3500</v>
      </c>
      <c r="D106" s="10">
        <f t="shared" si="1"/>
        <v>-2685.09</v>
      </c>
      <c r="E106" s="9">
        <f>'P&amp;L_original'!L33</f>
        <v>-185.09</v>
      </c>
      <c r="F106" s="10">
        <f t="shared" si="2"/>
        <v>2500</v>
      </c>
    </row>
    <row r="107" spans="1:6" x14ac:dyDescent="0.35">
      <c r="A107" t="s">
        <v>105</v>
      </c>
      <c r="B107" s="9">
        <f>'P&amp;L_original'!J34</f>
        <v>-280.23</v>
      </c>
      <c r="C107" s="9">
        <f>'P&amp;L_original'!K34</f>
        <v>3500</v>
      </c>
      <c r="D107" s="10">
        <f t="shared" si="1"/>
        <v>-3780.23</v>
      </c>
      <c r="E107" s="9">
        <f>'P&amp;L_original'!L34</f>
        <v>-2280.23</v>
      </c>
      <c r="F107" s="10">
        <f t="shared" si="2"/>
        <v>1500</v>
      </c>
    </row>
    <row r="108" spans="1:6" x14ac:dyDescent="0.35">
      <c r="A108" t="s">
        <v>92</v>
      </c>
      <c r="B108" s="9">
        <f>'P&amp;L_original'!J35</f>
        <v>1452.11</v>
      </c>
      <c r="C108" s="9">
        <f>'P&amp;L_original'!K35</f>
        <v>3500</v>
      </c>
      <c r="D108" s="10">
        <f t="shared" si="1"/>
        <v>-2047.89</v>
      </c>
      <c r="E108" s="9">
        <f>'P&amp;L_original'!L35</f>
        <v>1452.11</v>
      </c>
      <c r="F108" s="10">
        <f t="shared" si="2"/>
        <v>3500</v>
      </c>
    </row>
    <row r="109" spans="1:6" x14ac:dyDescent="0.35">
      <c r="A109" t="s">
        <v>93</v>
      </c>
      <c r="B109" s="9">
        <f>'P&amp;L_original'!J36</f>
        <v>1216.79</v>
      </c>
      <c r="C109" s="9">
        <f>'P&amp;L_original'!K36</f>
        <v>3500</v>
      </c>
      <c r="D109" s="10">
        <f t="shared" si="1"/>
        <v>-2283.21</v>
      </c>
      <c r="E109" s="9">
        <f>'P&amp;L_original'!L36</f>
        <v>1216.79</v>
      </c>
      <c r="F109" s="10">
        <f t="shared" si="2"/>
        <v>3500</v>
      </c>
    </row>
    <row r="110" spans="1:6" x14ac:dyDescent="0.35">
      <c r="A110" t="s">
        <v>94</v>
      </c>
      <c r="B110" s="9">
        <f>'P&amp;L_original'!J37</f>
        <v>1348.14</v>
      </c>
      <c r="C110" s="9">
        <f>'P&amp;L_original'!K37</f>
        <v>3500</v>
      </c>
      <c r="D110" s="10">
        <f t="shared" si="1"/>
        <v>-2151.8599999999997</v>
      </c>
      <c r="E110" s="9">
        <f>'P&amp;L_original'!L37</f>
        <v>1348.14</v>
      </c>
      <c r="F110" s="10">
        <f t="shared" si="2"/>
        <v>3500</v>
      </c>
    </row>
    <row r="112" spans="1:6" x14ac:dyDescent="0.35">
      <c r="A112" s="4" t="s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FE6D-9A62-4637-AEC4-EC35F5927826}">
  <dimension ref="A1:P46"/>
  <sheetViews>
    <sheetView tabSelected="1" topLeftCell="A27" workbookViewId="0">
      <selection activeCell="J39" sqref="J39:M50"/>
    </sheetView>
  </sheetViews>
  <sheetFormatPr defaultRowHeight="14.5" x14ac:dyDescent="0.35"/>
  <cols>
    <col min="1" max="1" width="10.7265625" bestFit="1" customWidth="1"/>
    <col min="2" max="2" width="10.81640625" bestFit="1" customWidth="1"/>
    <col min="3" max="3" width="8.1796875" bestFit="1" customWidth="1"/>
    <col min="4" max="4" width="14" bestFit="1" customWidth="1"/>
    <col min="5" max="6" width="9.1796875" bestFit="1" customWidth="1"/>
    <col min="7" max="7" width="14.7265625" bestFit="1" customWidth="1"/>
    <col min="8" max="8" width="10.453125" bestFit="1" customWidth="1"/>
    <col min="9" max="9" width="8.81640625" bestFit="1" customWidth="1"/>
    <col min="10" max="10" width="14" bestFit="1" customWidth="1"/>
    <col min="11" max="11" width="9.1796875" bestFit="1" customWidth="1"/>
    <col min="12" max="12" width="12.26953125" bestFit="1" customWidth="1"/>
    <col min="13" max="13" width="14.453125" bestFit="1" customWidth="1"/>
    <col min="14" max="14" width="15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12" t="s">
        <v>107</v>
      </c>
    </row>
    <row r="2" spans="1:16" x14ac:dyDescent="0.35">
      <c r="A2" s="1">
        <v>44927</v>
      </c>
      <c r="B2" s="2">
        <v>0</v>
      </c>
      <c r="C2" s="2">
        <v>0</v>
      </c>
      <c r="D2" s="2">
        <v>0</v>
      </c>
      <c r="E2" s="2">
        <v>6000</v>
      </c>
      <c r="F2" s="2">
        <v>-6000</v>
      </c>
      <c r="G2" s="2">
        <v>1500</v>
      </c>
      <c r="H2" s="2">
        <v>900</v>
      </c>
      <c r="I2" s="2">
        <v>-2100</v>
      </c>
      <c r="J2" s="2">
        <v>-6300</v>
      </c>
      <c r="K2" s="2">
        <v>18000</v>
      </c>
      <c r="L2" s="2">
        <v>-24300</v>
      </c>
      <c r="M2" s="2">
        <v>75700</v>
      </c>
      <c r="N2" s="2">
        <v>100000</v>
      </c>
    </row>
    <row r="3" spans="1:16" x14ac:dyDescent="0.35">
      <c r="A3" s="1">
        <v>44958</v>
      </c>
      <c r="B3" s="2">
        <v>520.48</v>
      </c>
      <c r="C3" s="2">
        <v>166.55</v>
      </c>
      <c r="D3" s="2">
        <v>353.93</v>
      </c>
      <c r="E3" s="2">
        <v>6093.69</v>
      </c>
      <c r="F3" s="2">
        <v>-5739.76</v>
      </c>
      <c r="G3" s="2">
        <v>1500</v>
      </c>
      <c r="H3" s="2">
        <v>900</v>
      </c>
      <c r="I3" s="2">
        <v>-2034.94</v>
      </c>
      <c r="J3" s="2">
        <v>-6104.82</v>
      </c>
      <c r="K3" s="2">
        <v>3500</v>
      </c>
      <c r="L3" s="2">
        <v>-9604.82</v>
      </c>
      <c r="M3" s="2">
        <v>66095.179999999993</v>
      </c>
      <c r="N3" s="2">
        <v>75700</v>
      </c>
    </row>
    <row r="4" spans="1:16" x14ac:dyDescent="0.35">
      <c r="A4" s="1">
        <v>44986</v>
      </c>
      <c r="B4" s="2">
        <v>1248.32</v>
      </c>
      <c r="C4" s="2">
        <v>399.46</v>
      </c>
      <c r="D4" s="2">
        <v>848.86</v>
      </c>
      <c r="E4" s="2">
        <v>6224.7</v>
      </c>
      <c r="F4" s="2">
        <v>-5375.84</v>
      </c>
      <c r="G4" s="2">
        <v>1500</v>
      </c>
      <c r="H4" s="2">
        <v>900</v>
      </c>
      <c r="I4" s="2">
        <v>-1943.96</v>
      </c>
      <c r="J4" s="2">
        <v>-5831.88</v>
      </c>
      <c r="K4" s="2">
        <v>3500</v>
      </c>
      <c r="L4" s="2">
        <v>-9331.8799999999992</v>
      </c>
      <c r="M4" s="2">
        <v>56763.3</v>
      </c>
      <c r="N4" s="2">
        <v>66095.179999999993</v>
      </c>
    </row>
    <row r="5" spans="1:16" x14ac:dyDescent="0.35">
      <c r="A5" s="1">
        <v>45017</v>
      </c>
      <c r="B5" s="2">
        <v>2187.64</v>
      </c>
      <c r="C5" s="2">
        <v>700.04</v>
      </c>
      <c r="D5" s="2">
        <v>1487.6</v>
      </c>
      <c r="E5" s="2">
        <v>6393.78</v>
      </c>
      <c r="F5" s="2">
        <v>-4906.18</v>
      </c>
      <c r="G5" s="2">
        <v>1500</v>
      </c>
      <c r="H5" s="2">
        <v>900</v>
      </c>
      <c r="I5" s="2">
        <v>-1826.55</v>
      </c>
      <c r="J5" s="2">
        <v>-5482.63</v>
      </c>
      <c r="K5" s="2">
        <v>3500</v>
      </c>
      <c r="L5" s="2">
        <v>-8982.6299999999992</v>
      </c>
      <c r="M5" s="2">
        <v>47780.67</v>
      </c>
      <c r="N5" s="2">
        <v>56763.3</v>
      </c>
    </row>
    <row r="6" spans="1:16" x14ac:dyDescent="0.35">
      <c r="A6" s="1">
        <v>45047</v>
      </c>
      <c r="B6" s="2">
        <v>3121.8</v>
      </c>
      <c r="C6" s="2">
        <v>999.98</v>
      </c>
      <c r="D6" s="2">
        <v>2121.8200000000002</v>
      </c>
      <c r="E6" s="2">
        <v>6561.92</v>
      </c>
      <c r="F6" s="2">
        <v>-4440.1000000000004</v>
      </c>
      <c r="G6" s="2">
        <v>1500</v>
      </c>
      <c r="H6" s="2">
        <v>900</v>
      </c>
      <c r="I6" s="2">
        <v>-1710.03</v>
      </c>
      <c r="J6" s="2">
        <v>-5130.13</v>
      </c>
      <c r="K6" s="2">
        <v>3500</v>
      </c>
      <c r="L6" s="2">
        <v>-8630.1299999999992</v>
      </c>
      <c r="M6" s="2">
        <v>39150.54</v>
      </c>
      <c r="N6" s="2">
        <v>47780.67</v>
      </c>
    </row>
    <row r="7" spans="1:16" x14ac:dyDescent="0.35">
      <c r="A7" s="1">
        <v>45078</v>
      </c>
      <c r="B7" s="2">
        <v>3930.56</v>
      </c>
      <c r="C7" s="2">
        <v>1257.78</v>
      </c>
      <c r="D7" s="2">
        <v>2672.78</v>
      </c>
      <c r="E7" s="2">
        <v>6707.5</v>
      </c>
      <c r="F7" s="2">
        <v>-4034.72</v>
      </c>
      <c r="G7" s="2">
        <v>1500</v>
      </c>
      <c r="H7" s="2">
        <v>900</v>
      </c>
      <c r="I7" s="2">
        <v>-1608.69</v>
      </c>
      <c r="J7" s="2">
        <v>-4826.03</v>
      </c>
      <c r="K7" s="2">
        <v>3500</v>
      </c>
      <c r="L7" s="2">
        <v>-8326.0300000000007</v>
      </c>
      <c r="M7" s="2">
        <v>30824.51</v>
      </c>
      <c r="N7" s="2">
        <v>39150.54</v>
      </c>
    </row>
    <row r="8" spans="1:16" x14ac:dyDescent="0.35">
      <c r="A8" s="1">
        <v>45108</v>
      </c>
      <c r="B8" s="2">
        <v>4864.25</v>
      </c>
      <c r="C8" s="2">
        <v>1556.56</v>
      </c>
      <c r="D8" s="2">
        <v>3307.69</v>
      </c>
      <c r="E8" s="2">
        <v>6875.57</v>
      </c>
      <c r="F8" s="2">
        <v>-3567.88</v>
      </c>
      <c r="G8" s="2">
        <v>1500</v>
      </c>
      <c r="H8" s="2">
        <v>900</v>
      </c>
      <c r="I8" s="2">
        <v>-1491.97</v>
      </c>
      <c r="J8" s="2">
        <v>-4475.8500000000004</v>
      </c>
      <c r="K8" s="2">
        <v>3500</v>
      </c>
      <c r="L8" s="2">
        <v>-7975.85</v>
      </c>
      <c r="M8" s="2">
        <v>22848.66</v>
      </c>
      <c r="N8" s="2">
        <v>30824.51</v>
      </c>
    </row>
    <row r="9" spans="1:16" x14ac:dyDescent="0.35">
      <c r="A9" s="1">
        <v>45139</v>
      </c>
      <c r="B9" s="2">
        <v>4932.76</v>
      </c>
      <c r="C9" s="2">
        <v>1578.48</v>
      </c>
      <c r="D9" s="2">
        <v>3354.28</v>
      </c>
      <c r="E9" s="2">
        <v>6887.9</v>
      </c>
      <c r="F9" s="2">
        <v>-3533.62</v>
      </c>
      <c r="G9" s="2">
        <v>1500</v>
      </c>
      <c r="H9" s="2">
        <v>900</v>
      </c>
      <c r="I9" s="2">
        <v>-1483.41</v>
      </c>
      <c r="J9" s="2">
        <v>-4450.21</v>
      </c>
      <c r="K9" s="2">
        <v>3500</v>
      </c>
      <c r="L9" s="2">
        <v>-7950.21</v>
      </c>
      <c r="M9" s="2">
        <v>14898.45</v>
      </c>
      <c r="N9" s="2">
        <v>22848.66</v>
      </c>
    </row>
    <row r="10" spans="1:16" x14ac:dyDescent="0.35">
      <c r="A10" s="1">
        <v>45170</v>
      </c>
      <c r="B10" s="2">
        <v>4454.32</v>
      </c>
      <c r="C10" s="2">
        <v>1425.38</v>
      </c>
      <c r="D10" s="2">
        <v>3028.94</v>
      </c>
      <c r="E10" s="2">
        <v>6801.78</v>
      </c>
      <c r="F10" s="2">
        <v>-3772.84</v>
      </c>
      <c r="G10" s="2">
        <v>1500</v>
      </c>
      <c r="H10" s="2">
        <v>900</v>
      </c>
      <c r="I10" s="2">
        <v>-1568.21</v>
      </c>
      <c r="J10" s="2">
        <v>-4705.05</v>
      </c>
      <c r="K10" s="2">
        <v>3500</v>
      </c>
      <c r="L10" s="2">
        <v>-8205.0499999999993</v>
      </c>
      <c r="M10" s="2">
        <v>6693.4</v>
      </c>
      <c r="N10" s="2">
        <v>14898.45</v>
      </c>
    </row>
    <row r="11" spans="1:16" x14ac:dyDescent="0.35">
      <c r="A11" s="1">
        <v>45200</v>
      </c>
      <c r="B11" s="2">
        <v>4707.53</v>
      </c>
      <c r="C11" s="2">
        <v>1506.41</v>
      </c>
      <c r="D11" s="2">
        <v>3201.12</v>
      </c>
      <c r="E11" s="2">
        <v>6847.36</v>
      </c>
      <c r="F11" s="2">
        <v>-3646.24</v>
      </c>
      <c r="G11" s="2">
        <v>1500</v>
      </c>
      <c r="H11" s="2">
        <v>900</v>
      </c>
      <c r="I11" s="2">
        <v>-1536.56</v>
      </c>
      <c r="J11" s="2">
        <v>-4610.8</v>
      </c>
      <c r="K11" s="2">
        <v>3500</v>
      </c>
      <c r="L11" s="2">
        <v>-8110.8</v>
      </c>
      <c r="M11" s="2">
        <v>-1417.4</v>
      </c>
      <c r="N11" s="2">
        <v>6693.4</v>
      </c>
    </row>
    <row r="12" spans="1:16" x14ac:dyDescent="0.35">
      <c r="A12" s="1">
        <v>45231</v>
      </c>
      <c r="B12" s="2">
        <v>8435.3799999999992</v>
      </c>
      <c r="C12" s="2">
        <v>2699.32</v>
      </c>
      <c r="D12" s="2">
        <v>5736.06</v>
      </c>
      <c r="E12" s="2">
        <v>7518.37</v>
      </c>
      <c r="F12" s="2">
        <v>-1782.31</v>
      </c>
      <c r="G12" s="2">
        <v>1500</v>
      </c>
      <c r="H12" s="2">
        <v>900</v>
      </c>
      <c r="I12" s="2">
        <v>-1170.58</v>
      </c>
      <c r="J12" s="2">
        <v>-3512.73</v>
      </c>
      <c r="K12" s="2">
        <v>3500</v>
      </c>
      <c r="L12" s="2">
        <v>-7012.73</v>
      </c>
      <c r="M12" s="2">
        <v>-8430.1299999999992</v>
      </c>
      <c r="N12" s="2">
        <v>-1417.4</v>
      </c>
    </row>
    <row r="13" spans="1:16" x14ac:dyDescent="0.35">
      <c r="A13" s="1">
        <v>45261</v>
      </c>
      <c r="B13" s="2">
        <v>6872.47</v>
      </c>
      <c r="C13" s="2">
        <v>2199.19</v>
      </c>
      <c r="D13" s="2">
        <v>4673.28</v>
      </c>
      <c r="E13" s="2">
        <v>7237.04</v>
      </c>
      <c r="F13" s="2">
        <v>-2563.7600000000002</v>
      </c>
      <c r="G13" s="2">
        <v>1500</v>
      </c>
      <c r="H13" s="2">
        <v>900</v>
      </c>
      <c r="I13" s="2">
        <v>-1365.94</v>
      </c>
      <c r="J13" s="2">
        <v>-4099.7</v>
      </c>
      <c r="K13" s="2">
        <v>3500</v>
      </c>
      <c r="L13" s="2">
        <v>-7599.7</v>
      </c>
      <c r="M13" s="2">
        <v>-16029.83</v>
      </c>
      <c r="N13" s="2">
        <v>-8430.1299999999992</v>
      </c>
    </row>
    <row r="14" spans="1:16" x14ac:dyDescent="0.35">
      <c r="A14" s="1">
        <v>45292</v>
      </c>
      <c r="B14" s="2">
        <v>8692.1299999999992</v>
      </c>
      <c r="C14" s="2">
        <v>2781.48</v>
      </c>
      <c r="D14" s="2">
        <v>5910.65</v>
      </c>
      <c r="E14" s="2">
        <v>7564.58</v>
      </c>
      <c r="F14" s="2">
        <v>-1653.93</v>
      </c>
      <c r="G14" s="2">
        <v>1500</v>
      </c>
      <c r="H14" s="2">
        <v>900</v>
      </c>
      <c r="I14" s="2">
        <v>-1138.48</v>
      </c>
      <c r="J14" s="2">
        <v>-3417.41</v>
      </c>
      <c r="K14" s="2">
        <v>18000</v>
      </c>
      <c r="L14" s="2">
        <v>-21417.41</v>
      </c>
      <c r="M14" s="2">
        <v>-37447.24</v>
      </c>
      <c r="N14" s="2">
        <v>-16029.83</v>
      </c>
    </row>
    <row r="15" spans="1:16" x14ac:dyDescent="0.35">
      <c r="A15" s="1">
        <v>45323</v>
      </c>
      <c r="B15" s="2">
        <v>13019.62</v>
      </c>
      <c r="C15" s="2">
        <v>4166.28</v>
      </c>
      <c r="D15" s="2">
        <v>8853.34</v>
      </c>
      <c r="E15" s="2">
        <v>8343.5300000000007</v>
      </c>
      <c r="F15" s="2">
        <v>509.81</v>
      </c>
      <c r="G15" s="2">
        <v>1500</v>
      </c>
      <c r="H15" s="2">
        <v>900</v>
      </c>
      <c r="I15" s="2">
        <v>-577.45000000000005</v>
      </c>
      <c r="J15" s="2">
        <v>-1967.64</v>
      </c>
      <c r="K15" s="2">
        <v>3500</v>
      </c>
      <c r="L15" s="2">
        <v>-5467.64</v>
      </c>
      <c r="M15" s="2">
        <v>-42914.879999999997</v>
      </c>
      <c r="N15" s="2">
        <v>-37447.24</v>
      </c>
    </row>
    <row r="16" spans="1:16" x14ac:dyDescent="0.35">
      <c r="A16" s="1">
        <v>45352</v>
      </c>
      <c r="B16" s="2">
        <v>6459.86</v>
      </c>
      <c r="C16" s="2">
        <v>2067.16</v>
      </c>
      <c r="D16" s="2">
        <v>4392.7</v>
      </c>
      <c r="E16" s="2">
        <v>7162.77</v>
      </c>
      <c r="F16" s="2">
        <v>-2770.07</v>
      </c>
      <c r="G16" s="2">
        <v>1500</v>
      </c>
      <c r="H16" s="2">
        <v>900</v>
      </c>
      <c r="I16" s="2">
        <v>-1207.48</v>
      </c>
      <c r="J16" s="2">
        <v>-3623.55</v>
      </c>
      <c r="K16" s="2">
        <v>3500</v>
      </c>
      <c r="L16" s="2">
        <v>-7123.55</v>
      </c>
      <c r="M16" s="2">
        <v>-50038.43</v>
      </c>
      <c r="N16" s="2">
        <v>-42914.879999999997</v>
      </c>
    </row>
    <row r="17" spans="1:14" x14ac:dyDescent="0.35">
      <c r="A17" s="1">
        <v>45383</v>
      </c>
      <c r="B17" s="2">
        <v>10691.61</v>
      </c>
      <c r="C17" s="2">
        <v>3421.32</v>
      </c>
      <c r="D17" s="2">
        <v>7270.29</v>
      </c>
      <c r="E17" s="2">
        <v>7924.49</v>
      </c>
      <c r="F17" s="2">
        <v>-654.20000000000005</v>
      </c>
      <c r="G17" s="2">
        <v>1500</v>
      </c>
      <c r="H17" s="2">
        <v>900</v>
      </c>
      <c r="I17" s="2">
        <v>-923.55</v>
      </c>
      <c r="J17" s="2">
        <v>-2830.3</v>
      </c>
      <c r="K17" s="2">
        <v>3500</v>
      </c>
      <c r="L17" s="2">
        <v>-6330.3</v>
      </c>
      <c r="M17" s="2">
        <v>-56368.73</v>
      </c>
      <c r="N17" s="2">
        <v>-50038.43</v>
      </c>
    </row>
    <row r="18" spans="1:14" x14ac:dyDescent="0.35">
      <c r="A18" s="1">
        <v>45413</v>
      </c>
      <c r="B18" s="2">
        <v>10648.63</v>
      </c>
      <c r="C18" s="2">
        <v>3407.56</v>
      </c>
      <c r="D18" s="2">
        <v>7241.07</v>
      </c>
      <c r="E18" s="2">
        <v>7916.75</v>
      </c>
      <c r="F18" s="2">
        <v>-675.68</v>
      </c>
      <c r="G18" s="2">
        <v>1500</v>
      </c>
      <c r="H18" s="2">
        <v>900</v>
      </c>
      <c r="I18" s="2">
        <v>-925.42</v>
      </c>
      <c r="J18" s="2">
        <v>-2833.91</v>
      </c>
      <c r="K18" s="2">
        <v>3500</v>
      </c>
      <c r="L18" s="2">
        <v>-6333.91</v>
      </c>
      <c r="M18" s="2">
        <v>-62702.64</v>
      </c>
      <c r="N18" s="2">
        <v>-56368.73</v>
      </c>
    </row>
    <row r="19" spans="1:14" x14ac:dyDescent="0.35">
      <c r="A19" s="1">
        <v>45444</v>
      </c>
      <c r="B19" s="2">
        <v>9504.92</v>
      </c>
      <c r="C19" s="2">
        <v>3041.57</v>
      </c>
      <c r="D19" s="2">
        <v>6463.35</v>
      </c>
      <c r="E19" s="2">
        <v>7710.89</v>
      </c>
      <c r="F19" s="2">
        <v>-1247.54</v>
      </c>
      <c r="G19" s="2">
        <v>1500</v>
      </c>
      <c r="H19" s="2">
        <v>900</v>
      </c>
      <c r="I19" s="2">
        <v>-1022.36</v>
      </c>
      <c r="J19" s="2">
        <v>-3125.55</v>
      </c>
      <c r="K19" s="2">
        <v>3500</v>
      </c>
      <c r="L19" s="2">
        <v>-6625.55</v>
      </c>
      <c r="M19" s="2">
        <v>-69328.19</v>
      </c>
      <c r="N19" s="2">
        <v>-62702.64</v>
      </c>
    </row>
    <row r="20" spans="1:14" x14ac:dyDescent="0.35">
      <c r="A20" s="1">
        <v>45474</v>
      </c>
      <c r="B20" s="2">
        <v>8923.92</v>
      </c>
      <c r="C20" s="2">
        <v>2855.65</v>
      </c>
      <c r="D20" s="2">
        <v>6068.27</v>
      </c>
      <c r="E20" s="2">
        <v>7606.31</v>
      </c>
      <c r="F20" s="2">
        <v>-1538.04</v>
      </c>
      <c r="G20" s="2">
        <v>1500</v>
      </c>
      <c r="H20" s="2">
        <v>900</v>
      </c>
      <c r="I20" s="2">
        <v>-1069.4100000000001</v>
      </c>
      <c r="J20" s="2">
        <v>-3268.36</v>
      </c>
      <c r="K20" s="2">
        <v>3500</v>
      </c>
      <c r="L20" s="2">
        <v>-6768.36</v>
      </c>
      <c r="M20" s="2">
        <v>-76096.55</v>
      </c>
      <c r="N20" s="2">
        <v>-69328.19</v>
      </c>
    </row>
    <row r="21" spans="1:14" x14ac:dyDescent="0.35">
      <c r="A21" s="1">
        <v>45505</v>
      </c>
      <c r="B21" s="2">
        <v>11394.1</v>
      </c>
      <c r="C21" s="2">
        <v>3646.11</v>
      </c>
      <c r="D21" s="2">
        <v>7747.99</v>
      </c>
      <c r="E21" s="2">
        <v>8050.94</v>
      </c>
      <c r="F21" s="2">
        <v>-302.95</v>
      </c>
      <c r="G21" s="2">
        <v>1500</v>
      </c>
      <c r="H21" s="2">
        <v>900</v>
      </c>
      <c r="I21" s="2">
        <v>-845.66</v>
      </c>
      <c r="J21" s="2">
        <v>-2591.29</v>
      </c>
      <c r="K21" s="2">
        <v>3500</v>
      </c>
      <c r="L21" s="2">
        <v>-6091.29</v>
      </c>
      <c r="M21" s="2">
        <v>-82187.839999999997</v>
      </c>
      <c r="N21" s="2">
        <v>-76096.55</v>
      </c>
    </row>
    <row r="22" spans="1:14" x14ac:dyDescent="0.35">
      <c r="A22" s="1">
        <v>45536</v>
      </c>
      <c r="B22" s="2">
        <v>13150.51</v>
      </c>
      <c r="C22" s="2">
        <v>4208.16</v>
      </c>
      <c r="D22" s="2">
        <v>8942.35</v>
      </c>
      <c r="E22" s="2">
        <v>8367.09</v>
      </c>
      <c r="F22" s="2">
        <v>575.26</v>
      </c>
      <c r="G22" s="2">
        <v>1500</v>
      </c>
      <c r="H22" s="2">
        <v>900</v>
      </c>
      <c r="I22" s="2">
        <v>-561.78</v>
      </c>
      <c r="J22" s="2">
        <v>-1917.74</v>
      </c>
      <c r="K22" s="2">
        <v>3500</v>
      </c>
      <c r="L22" s="2">
        <v>-5417.74</v>
      </c>
      <c r="M22" s="2">
        <v>-87605.58</v>
      </c>
      <c r="N22" s="2">
        <v>-82187.839999999997</v>
      </c>
    </row>
    <row r="23" spans="1:14" x14ac:dyDescent="0.35">
      <c r="A23" s="1">
        <v>45566</v>
      </c>
      <c r="B23" s="2">
        <v>13579.32</v>
      </c>
      <c r="C23" s="2">
        <v>4345.38</v>
      </c>
      <c r="D23" s="2">
        <v>9233.94</v>
      </c>
      <c r="E23" s="2">
        <v>8444.2800000000007</v>
      </c>
      <c r="F23" s="2">
        <v>789.66</v>
      </c>
      <c r="G23" s="2">
        <v>1500</v>
      </c>
      <c r="H23" s="2">
        <v>900</v>
      </c>
      <c r="I23" s="2">
        <v>-516.32000000000005</v>
      </c>
      <c r="J23" s="2">
        <v>-1763.98</v>
      </c>
      <c r="K23" s="2">
        <v>3500</v>
      </c>
      <c r="L23" s="2">
        <v>-5263.98</v>
      </c>
      <c r="M23" s="2">
        <v>-92869.56</v>
      </c>
      <c r="N23" s="2">
        <v>-87605.58</v>
      </c>
    </row>
    <row r="24" spans="1:14" x14ac:dyDescent="0.35">
      <c r="A24" s="1">
        <v>45597</v>
      </c>
      <c r="B24" s="2">
        <v>16473.5</v>
      </c>
      <c r="C24" s="2">
        <v>5271.52</v>
      </c>
      <c r="D24" s="2">
        <v>11201.98</v>
      </c>
      <c r="E24" s="2">
        <v>8965.23</v>
      </c>
      <c r="F24" s="2">
        <v>2236.75</v>
      </c>
      <c r="G24" s="2">
        <v>1500</v>
      </c>
      <c r="H24" s="2">
        <v>900</v>
      </c>
      <c r="I24" s="2">
        <v>-16.809999999999999</v>
      </c>
      <c r="J24" s="2">
        <v>-50.44</v>
      </c>
      <c r="K24" s="2">
        <v>3500</v>
      </c>
      <c r="L24" s="2">
        <v>-3550.44</v>
      </c>
      <c r="M24" s="2">
        <v>-96420</v>
      </c>
      <c r="N24" s="2">
        <v>-92869.56</v>
      </c>
    </row>
    <row r="25" spans="1:14" x14ac:dyDescent="0.35">
      <c r="A25" s="1">
        <v>45627</v>
      </c>
      <c r="B25" s="2">
        <v>16466.82</v>
      </c>
      <c r="C25" s="2">
        <v>5269.38</v>
      </c>
      <c r="D25" s="2">
        <v>11197.44</v>
      </c>
      <c r="E25" s="2">
        <v>8964.0300000000007</v>
      </c>
      <c r="F25" s="2">
        <v>2233.41</v>
      </c>
      <c r="G25" s="2">
        <v>1500</v>
      </c>
      <c r="H25" s="2">
        <v>900</v>
      </c>
      <c r="I25" s="2">
        <v>-17.649999999999999</v>
      </c>
      <c r="J25" s="2">
        <v>-52.94</v>
      </c>
      <c r="K25" s="2">
        <v>3500</v>
      </c>
      <c r="L25" s="2">
        <v>-3552.94</v>
      </c>
      <c r="M25" s="2">
        <v>-99972.94</v>
      </c>
      <c r="N25" s="2">
        <v>-96420</v>
      </c>
    </row>
    <row r="26" spans="1:14" x14ac:dyDescent="0.35">
      <c r="A26" s="1">
        <v>45658</v>
      </c>
      <c r="B26" s="2">
        <v>15152.88</v>
      </c>
      <c r="C26" s="2">
        <v>4848.92</v>
      </c>
      <c r="D26" s="2">
        <v>10303.959999999999</v>
      </c>
      <c r="E26" s="2">
        <v>8727.52</v>
      </c>
      <c r="F26" s="2">
        <v>1576.44</v>
      </c>
      <c r="G26" s="2">
        <v>1500</v>
      </c>
      <c r="H26" s="2">
        <v>900</v>
      </c>
      <c r="I26" s="2">
        <v>-376.29</v>
      </c>
      <c r="J26" s="2">
        <v>-1128.8599999999999</v>
      </c>
      <c r="K26" s="2">
        <v>18000</v>
      </c>
      <c r="L26" s="2">
        <v>-19128.86</v>
      </c>
      <c r="M26" s="2">
        <v>-119101.8</v>
      </c>
      <c r="N26" s="2">
        <v>-99972.94</v>
      </c>
    </row>
    <row r="27" spans="1:14" x14ac:dyDescent="0.35">
      <c r="A27" s="1">
        <v>45689</v>
      </c>
      <c r="B27" s="2">
        <v>15347.55</v>
      </c>
      <c r="C27" s="2">
        <v>4911.22</v>
      </c>
      <c r="D27" s="2">
        <v>10436.34</v>
      </c>
      <c r="E27" s="2">
        <v>8762.56</v>
      </c>
      <c r="F27" s="2">
        <v>1673.78</v>
      </c>
      <c r="G27" s="2">
        <v>1500</v>
      </c>
      <c r="H27" s="2">
        <v>900</v>
      </c>
      <c r="I27" s="2">
        <v>-356.8</v>
      </c>
      <c r="J27" s="2">
        <v>-1070.4100000000001</v>
      </c>
      <c r="K27" s="2">
        <v>3500</v>
      </c>
      <c r="L27" s="2">
        <v>-4570.41</v>
      </c>
      <c r="M27" s="2">
        <v>-123672.21</v>
      </c>
      <c r="N27" s="2">
        <v>-119101.8</v>
      </c>
    </row>
    <row r="28" spans="1:14" x14ac:dyDescent="0.35">
      <c r="A28" s="1">
        <v>45717</v>
      </c>
      <c r="B28" s="2">
        <v>20685.650000000001</v>
      </c>
      <c r="C28" s="2">
        <v>6619.41</v>
      </c>
      <c r="D28" s="2">
        <v>14066.24</v>
      </c>
      <c r="E28" s="2">
        <v>9723.42</v>
      </c>
      <c r="F28" s="2">
        <v>4342.82</v>
      </c>
      <c r="G28" s="2">
        <v>1500</v>
      </c>
      <c r="H28" s="2">
        <v>900</v>
      </c>
      <c r="I28" s="2">
        <v>188.97</v>
      </c>
      <c r="J28" s="2">
        <v>566.9</v>
      </c>
      <c r="K28" s="2">
        <v>3500</v>
      </c>
      <c r="L28" s="2">
        <v>-2933.1</v>
      </c>
      <c r="M28" s="2">
        <v>-126605.31</v>
      </c>
      <c r="N28" s="2">
        <v>-123672.21</v>
      </c>
    </row>
    <row r="29" spans="1:14" x14ac:dyDescent="0.35">
      <c r="A29" s="1">
        <v>45748</v>
      </c>
      <c r="B29" s="2">
        <v>15961.66</v>
      </c>
      <c r="C29" s="2">
        <v>5107.7299999999996</v>
      </c>
      <c r="D29" s="2">
        <v>10853.93</v>
      </c>
      <c r="E29" s="2">
        <v>8873.1</v>
      </c>
      <c r="F29" s="2">
        <v>1980.83</v>
      </c>
      <c r="G29" s="2">
        <v>1500</v>
      </c>
      <c r="H29" s="2">
        <v>900</v>
      </c>
      <c r="I29" s="2">
        <v>-288.08</v>
      </c>
      <c r="J29" s="2">
        <v>-864.23</v>
      </c>
      <c r="K29" s="2">
        <v>3500</v>
      </c>
      <c r="L29" s="2">
        <v>-4364.2299999999996</v>
      </c>
      <c r="M29" s="2">
        <v>-130969.54</v>
      </c>
      <c r="N29" s="2">
        <v>-126605.31</v>
      </c>
    </row>
    <row r="30" spans="1:14" x14ac:dyDescent="0.35">
      <c r="A30" s="1">
        <v>45778</v>
      </c>
      <c r="B30" s="2">
        <v>20886.189999999999</v>
      </c>
      <c r="C30" s="2">
        <v>6683.58</v>
      </c>
      <c r="D30" s="2">
        <v>14202.61</v>
      </c>
      <c r="E30" s="2">
        <v>9769.51</v>
      </c>
      <c r="F30" s="2">
        <v>4433.1000000000004</v>
      </c>
      <c r="G30" s="2">
        <v>1500</v>
      </c>
      <c r="H30" s="2">
        <v>900</v>
      </c>
      <c r="I30" s="2">
        <v>200.68</v>
      </c>
      <c r="J30" s="2">
        <v>602.03</v>
      </c>
      <c r="K30" s="2">
        <v>3500</v>
      </c>
      <c r="L30" s="2">
        <v>-2897.97</v>
      </c>
      <c r="M30" s="2">
        <v>-133867.51</v>
      </c>
      <c r="N30" s="2">
        <v>-130969.54</v>
      </c>
    </row>
    <row r="31" spans="1:14" x14ac:dyDescent="0.35">
      <c r="A31" s="1">
        <v>45809</v>
      </c>
      <c r="B31" s="2">
        <v>30793.8</v>
      </c>
      <c r="C31" s="2">
        <v>9854.02</v>
      </c>
      <c r="D31" s="2">
        <v>20939.78</v>
      </c>
      <c r="E31" s="2">
        <v>11542.88</v>
      </c>
      <c r="F31" s="2">
        <v>9396.9</v>
      </c>
      <c r="G31" s="2">
        <v>1500</v>
      </c>
      <c r="H31" s="2">
        <v>900</v>
      </c>
      <c r="I31" s="2">
        <v>1074.98</v>
      </c>
      <c r="J31" s="2">
        <v>3224.93</v>
      </c>
      <c r="K31" s="2">
        <v>3500</v>
      </c>
      <c r="L31" s="2">
        <v>-275.07</v>
      </c>
      <c r="M31" s="2">
        <v>-134142.57999999999</v>
      </c>
      <c r="N31" s="2">
        <v>-133867.51</v>
      </c>
    </row>
    <row r="32" spans="1:14" x14ac:dyDescent="0.35">
      <c r="A32" s="1">
        <v>45839</v>
      </c>
      <c r="B32" s="2">
        <v>21936.31</v>
      </c>
      <c r="C32" s="2">
        <v>7019.62</v>
      </c>
      <c r="D32" s="2">
        <v>14916.69</v>
      </c>
      <c r="E32" s="2">
        <v>9948.5400000000009</v>
      </c>
      <c r="F32" s="2">
        <v>4968.1499999999996</v>
      </c>
      <c r="G32" s="2">
        <v>1500</v>
      </c>
      <c r="H32" s="2">
        <v>900</v>
      </c>
      <c r="I32" s="2">
        <v>364.14</v>
      </c>
      <c r="J32" s="2">
        <v>1092.42</v>
      </c>
      <c r="K32" s="2">
        <v>3500</v>
      </c>
      <c r="L32" s="2">
        <v>592.41999999999996</v>
      </c>
      <c r="M32" s="2">
        <v>-133550.16</v>
      </c>
      <c r="N32" s="2">
        <v>-134142.57999999999</v>
      </c>
    </row>
    <row r="33" spans="1:14" x14ac:dyDescent="0.35">
      <c r="A33" s="1">
        <v>45870</v>
      </c>
      <c r="B33" s="2">
        <v>20841.09</v>
      </c>
      <c r="C33" s="2">
        <v>6669.15</v>
      </c>
      <c r="D33" s="2">
        <v>14171.94</v>
      </c>
      <c r="E33" s="2">
        <v>9751.4</v>
      </c>
      <c r="F33" s="2">
        <v>4420.54</v>
      </c>
      <c r="G33" s="2">
        <v>1500</v>
      </c>
      <c r="H33" s="2">
        <v>900</v>
      </c>
      <c r="I33" s="2">
        <v>271.64</v>
      </c>
      <c r="J33" s="2">
        <v>814.91</v>
      </c>
      <c r="K33" s="2">
        <v>3500</v>
      </c>
      <c r="L33" s="2">
        <v>-185.09</v>
      </c>
      <c r="M33" s="2">
        <v>-133735.25</v>
      </c>
      <c r="N33" s="2">
        <v>-133550.16</v>
      </c>
    </row>
    <row r="34" spans="1:14" x14ac:dyDescent="0.35">
      <c r="A34" s="1">
        <v>45901</v>
      </c>
      <c r="B34" s="2">
        <v>17856.099999999999</v>
      </c>
      <c r="C34" s="2">
        <v>5713.95</v>
      </c>
      <c r="D34" s="2">
        <v>12142.15</v>
      </c>
      <c r="E34" s="2">
        <v>9334.1</v>
      </c>
      <c r="F34" s="2">
        <v>2808.05</v>
      </c>
      <c r="G34" s="2">
        <v>1500</v>
      </c>
      <c r="H34" s="2">
        <v>900</v>
      </c>
      <c r="I34" s="2">
        <v>-93.41</v>
      </c>
      <c r="J34" s="2">
        <v>-280.23</v>
      </c>
      <c r="K34" s="2">
        <v>3500</v>
      </c>
      <c r="L34" s="2">
        <v>-2280.23</v>
      </c>
      <c r="M34" s="2">
        <v>-136015.48000000001</v>
      </c>
      <c r="N34" s="2">
        <v>-133735.25</v>
      </c>
    </row>
    <row r="35" spans="1:14" x14ac:dyDescent="0.35">
      <c r="A35" s="1">
        <v>45931</v>
      </c>
      <c r="B35" s="2">
        <v>25253.13</v>
      </c>
      <c r="C35" s="2">
        <v>8080</v>
      </c>
      <c r="D35" s="2">
        <v>17173.13</v>
      </c>
      <c r="E35" s="2">
        <v>10545.56</v>
      </c>
      <c r="F35" s="2">
        <v>6627.57</v>
      </c>
      <c r="G35" s="2">
        <v>1500</v>
      </c>
      <c r="H35" s="2">
        <v>900</v>
      </c>
      <c r="I35" s="2">
        <v>484.04</v>
      </c>
      <c r="J35" s="2">
        <v>1452.11</v>
      </c>
      <c r="K35" s="2">
        <v>3500</v>
      </c>
      <c r="L35" s="2">
        <v>1452.11</v>
      </c>
      <c r="M35" s="2">
        <v>-134563.37</v>
      </c>
      <c r="N35" s="2">
        <v>-136015.48000000001</v>
      </c>
    </row>
    <row r="36" spans="1:14" x14ac:dyDescent="0.35">
      <c r="A36" s="1">
        <v>45962</v>
      </c>
      <c r="B36" s="2">
        <v>23659.599999999999</v>
      </c>
      <c r="C36" s="2">
        <v>7571.07</v>
      </c>
      <c r="D36" s="2">
        <v>16088.53</v>
      </c>
      <c r="E36" s="2">
        <v>10238.73</v>
      </c>
      <c r="F36" s="2">
        <v>5849.8</v>
      </c>
      <c r="G36" s="2">
        <v>1500</v>
      </c>
      <c r="H36" s="2">
        <v>900</v>
      </c>
      <c r="I36" s="2">
        <v>405.6</v>
      </c>
      <c r="J36" s="2">
        <v>1216.79</v>
      </c>
      <c r="K36" s="2">
        <v>3500</v>
      </c>
      <c r="L36" s="2">
        <v>1216.79</v>
      </c>
      <c r="M36" s="2">
        <v>-133346.57999999999</v>
      </c>
      <c r="N36" s="2">
        <v>-134563.37</v>
      </c>
    </row>
    <row r="37" spans="1:14" x14ac:dyDescent="0.35">
      <c r="A37" s="1">
        <v>45992</v>
      </c>
      <c r="B37" s="2">
        <v>24960.68</v>
      </c>
      <c r="C37" s="2">
        <v>7987.42</v>
      </c>
      <c r="D37" s="2">
        <v>16973.259999999998</v>
      </c>
      <c r="E37" s="2">
        <v>10692.92</v>
      </c>
      <c r="F37" s="2">
        <v>6280.34</v>
      </c>
      <c r="G37" s="2">
        <v>1500</v>
      </c>
      <c r="H37" s="2">
        <v>900</v>
      </c>
      <c r="I37" s="2">
        <v>449.38</v>
      </c>
      <c r="J37" s="2">
        <v>1348.14</v>
      </c>
      <c r="K37" s="2">
        <v>3500</v>
      </c>
      <c r="L37" s="2">
        <v>1348.14</v>
      </c>
      <c r="M37" s="2">
        <v>-131998.44</v>
      </c>
      <c r="N37" s="2">
        <v>-133346.57999999999</v>
      </c>
    </row>
    <row r="38" spans="1:14" x14ac:dyDescent="0.35">
      <c r="A38" s="1">
        <v>46023</v>
      </c>
      <c r="B38" s="2">
        <v>187.32</v>
      </c>
      <c r="C38" s="2">
        <v>59.94</v>
      </c>
      <c r="D38" s="2">
        <v>127.38</v>
      </c>
      <c r="E38" s="2">
        <v>6033.74</v>
      </c>
      <c r="F38" s="2">
        <v>-5906.36</v>
      </c>
      <c r="G38" s="2">
        <v>1500</v>
      </c>
      <c r="H38" s="2">
        <v>900</v>
      </c>
      <c r="I38" s="2">
        <v>-2091.59</v>
      </c>
      <c r="J38" s="2">
        <v>-6273.77</v>
      </c>
      <c r="K38" s="2">
        <v>18000</v>
      </c>
      <c r="L38" s="2">
        <v>-24273.77</v>
      </c>
      <c r="M38" s="2">
        <v>-156272.21</v>
      </c>
      <c r="N38" s="2">
        <v>-131998.44</v>
      </c>
    </row>
    <row r="40" spans="1:14" x14ac:dyDescent="0.35">
      <c r="J40" s="2"/>
      <c r="L40" s="2"/>
    </row>
    <row r="41" spans="1:14" x14ac:dyDescent="0.35">
      <c r="L41" s="2"/>
    </row>
    <row r="43" spans="1:14" x14ac:dyDescent="0.35">
      <c r="J43" s="33"/>
      <c r="L43" s="2"/>
    </row>
    <row r="44" spans="1:14" x14ac:dyDescent="0.35">
      <c r="J44" s="33"/>
      <c r="L44" s="2"/>
    </row>
    <row r="46" spans="1:14" x14ac:dyDescent="0.35">
      <c r="L4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4F4415-EDBA-4B54-BDE9-652EC3BB6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Assumptions</vt:lpstr>
      <vt:lpstr>constants_audit</vt:lpstr>
      <vt:lpstr>P&amp;L_original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John</dc:creator>
  <cp:lastModifiedBy>Dennis John</cp:lastModifiedBy>
  <dcterms:created xsi:type="dcterms:W3CDTF">2015-06-05T18:17:20Z</dcterms:created>
  <dcterms:modified xsi:type="dcterms:W3CDTF">2026-10-10T20:07:13Z</dcterms:modified>
</cp:coreProperties>
</file>